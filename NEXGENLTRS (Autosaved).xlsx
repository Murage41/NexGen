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ick\Documents\"/>
    </mc:Choice>
  </mc:AlternateContent>
  <bookViews>
    <workbookView xWindow="0" yWindow="0" windowWidth="19200" windowHeight="11490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1" i="1" l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50" i="1"/>
  <c r="M250" i="1"/>
  <c r="F229" i="1" l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I229" i="1"/>
  <c r="I230" i="1"/>
  <c r="I231" i="1"/>
  <c r="I232" i="1"/>
  <c r="I233" i="1"/>
  <c r="I234" i="1"/>
  <c r="I235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23" i="1" l="1"/>
  <c r="I224" i="1"/>
  <c r="I225" i="1"/>
  <c r="I226" i="1"/>
  <c r="I227" i="1"/>
  <c r="I228" i="1"/>
  <c r="I219" i="1"/>
  <c r="F215" i="1" l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14" i="1"/>
  <c r="I215" i="1"/>
  <c r="I216" i="1"/>
  <c r="I217" i="1"/>
  <c r="I218" i="1"/>
  <c r="I220" i="1"/>
  <c r="I221" i="1"/>
  <c r="I222" i="1"/>
  <c r="I214" i="1"/>
  <c r="J217" i="1" l="1"/>
  <c r="K217" i="1" s="1"/>
  <c r="J218" i="1"/>
  <c r="J219" i="1"/>
  <c r="K218" i="1"/>
  <c r="E213" i="1"/>
  <c r="F213" i="1" s="1"/>
  <c r="F212" i="1"/>
  <c r="E212" i="1"/>
  <c r="D205" i="1" l="1"/>
  <c r="D206" i="1"/>
  <c r="D207" i="1"/>
  <c r="D208" i="1"/>
  <c r="D209" i="1"/>
  <c r="D210" i="1"/>
  <c r="I205" i="1"/>
  <c r="I206" i="1"/>
  <c r="I207" i="1"/>
  <c r="I208" i="1"/>
  <c r="I209" i="1"/>
  <c r="I210" i="1"/>
  <c r="I204" i="1"/>
  <c r="J202" i="1"/>
  <c r="J205" i="1"/>
  <c r="J206" i="1" s="1"/>
  <c r="E202" i="1"/>
  <c r="J207" i="1" l="1"/>
  <c r="J208" i="1" s="1"/>
  <c r="J209" i="1" s="1"/>
  <c r="J210" i="1" s="1"/>
  <c r="E204" i="1"/>
  <c r="E205" i="1" s="1"/>
  <c r="E206" i="1" s="1"/>
  <c r="E207" i="1" s="1"/>
  <c r="E208" i="1" s="1"/>
  <c r="E209" i="1" s="1"/>
  <c r="E210" i="1" s="1"/>
  <c r="D198" i="1"/>
  <c r="E185" i="1" l="1"/>
  <c r="E186" i="1" s="1"/>
  <c r="E187" i="1" s="1"/>
  <c r="E188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184" i="1"/>
  <c r="J185" i="1" l="1"/>
  <c r="J186" i="1" s="1"/>
  <c r="J187" i="1" s="1"/>
  <c r="J188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I121" i="2" l="1"/>
  <c r="N119" i="2" l="1"/>
  <c r="N144" i="2"/>
  <c r="N149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M109" i="2"/>
  <c r="M119" i="2"/>
  <c r="M144" i="2"/>
  <c r="M149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105" i="2"/>
  <c r="M105" i="2"/>
  <c r="L106" i="2"/>
  <c r="L107" i="2"/>
  <c r="M107" i="2" s="1"/>
  <c r="L108" i="2"/>
  <c r="L109" i="2"/>
  <c r="L110" i="2"/>
  <c r="L111" i="2"/>
  <c r="L112" i="2"/>
  <c r="L113" i="2"/>
  <c r="L114" i="2"/>
  <c r="L115" i="2"/>
  <c r="L116" i="2"/>
  <c r="L117" i="2"/>
  <c r="L118" i="2"/>
  <c r="L119" i="2"/>
  <c r="L121" i="2"/>
  <c r="M121" i="2" s="1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D106" i="2"/>
  <c r="D107" i="2"/>
  <c r="D108" i="2"/>
  <c r="M108" i="2" s="1"/>
  <c r="D109" i="2"/>
  <c r="D110" i="2"/>
  <c r="D111" i="2"/>
  <c r="D112" i="2"/>
  <c r="M112" i="2" s="1"/>
  <c r="N112" i="2" s="1"/>
  <c r="D113" i="2"/>
  <c r="M113" i="2" s="1"/>
  <c r="D114" i="2"/>
  <c r="D115" i="2"/>
  <c r="D116" i="2"/>
  <c r="M116" i="2" s="1"/>
  <c r="D117" i="2"/>
  <c r="M117" i="2" s="1"/>
  <c r="D118" i="2"/>
  <c r="D119" i="2"/>
  <c r="D121" i="2"/>
  <c r="D122" i="2"/>
  <c r="D123" i="2"/>
  <c r="D124" i="2"/>
  <c r="M124" i="2" s="1"/>
  <c r="D125" i="2"/>
  <c r="M125" i="2" s="1"/>
  <c r="D126" i="2"/>
  <c r="D127" i="2"/>
  <c r="M127" i="2" s="1"/>
  <c r="D128" i="2"/>
  <c r="M128" i="2" s="1"/>
  <c r="D129" i="2"/>
  <c r="D130" i="2"/>
  <c r="D131" i="2"/>
  <c r="M131" i="2" s="1"/>
  <c r="D132" i="2"/>
  <c r="M132" i="2" s="1"/>
  <c r="D133" i="2"/>
  <c r="M133" i="2" s="1"/>
  <c r="D134" i="2"/>
  <c r="D135" i="2"/>
  <c r="M135" i="2" s="1"/>
  <c r="D136" i="2"/>
  <c r="D137" i="2"/>
  <c r="D138" i="2"/>
  <c r="M138" i="2" s="1"/>
  <c r="D139" i="2"/>
  <c r="M139" i="2" s="1"/>
  <c r="D140" i="2"/>
  <c r="D141" i="2"/>
  <c r="D142" i="2"/>
  <c r="D143" i="2"/>
  <c r="D144" i="2"/>
  <c r="D146" i="2"/>
  <c r="M146" i="2" s="1"/>
  <c r="D147" i="2"/>
  <c r="M147" i="2" s="1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I105" i="2"/>
  <c r="L105" i="2"/>
  <c r="D105" i="2"/>
  <c r="L103" i="2"/>
  <c r="I103" i="2"/>
  <c r="D103" i="2"/>
  <c r="M103" i="2" s="1"/>
  <c r="M151" i="2" l="1"/>
  <c r="N151" i="2" s="1"/>
  <c r="M150" i="2"/>
  <c r="N150" i="2"/>
  <c r="M148" i="2"/>
  <c r="N148" i="2" s="1"/>
  <c r="N147" i="2"/>
  <c r="N146" i="2"/>
  <c r="M143" i="2"/>
  <c r="N143" i="2" s="1"/>
  <c r="M142" i="2"/>
  <c r="N142" i="2"/>
  <c r="M141" i="2"/>
  <c r="N141" i="2" s="1"/>
  <c r="M140" i="2"/>
  <c r="N140" i="2"/>
  <c r="N139" i="2"/>
  <c r="N138" i="2"/>
  <c r="M137" i="2"/>
  <c r="N137" i="2" s="1"/>
  <c r="M136" i="2"/>
  <c r="N136" i="2" s="1"/>
  <c r="N120" i="2"/>
  <c r="N135" i="2"/>
  <c r="M134" i="2"/>
  <c r="N134" i="2"/>
  <c r="N133" i="2"/>
  <c r="N132" i="2"/>
  <c r="N131" i="2"/>
  <c r="M130" i="2"/>
  <c r="N130" i="2"/>
  <c r="M129" i="2"/>
  <c r="N129" i="2"/>
  <c r="N128" i="2"/>
  <c r="N127" i="2"/>
  <c r="M126" i="2"/>
  <c r="N126" i="2"/>
  <c r="N125" i="2"/>
  <c r="N124" i="2"/>
  <c r="M123" i="2"/>
  <c r="N123" i="2" s="1"/>
  <c r="M122" i="2"/>
  <c r="N122" i="2"/>
  <c r="N121" i="2"/>
  <c r="M118" i="2"/>
  <c r="N118" i="2"/>
  <c r="N117" i="2"/>
  <c r="N116" i="2"/>
  <c r="M115" i="2"/>
  <c r="N115" i="2" s="1"/>
  <c r="M114" i="2"/>
  <c r="N114" i="2" s="1"/>
  <c r="N113" i="2"/>
  <c r="M111" i="2"/>
  <c r="N111" i="2"/>
  <c r="M110" i="2"/>
  <c r="N110" i="2" s="1"/>
  <c r="N109" i="2"/>
  <c r="N108" i="2"/>
  <c r="N107" i="2"/>
  <c r="M106" i="2"/>
  <c r="N106" i="2"/>
  <c r="N103" i="2"/>
  <c r="L36" i="2" l="1"/>
  <c r="L37" i="2"/>
  <c r="L38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2" i="2"/>
  <c r="L73" i="2"/>
  <c r="L74" i="2"/>
  <c r="L75" i="2"/>
  <c r="L76" i="2"/>
  <c r="L77" i="2"/>
  <c r="L78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I36" i="2"/>
  <c r="I37" i="2"/>
  <c r="I38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D36" i="2"/>
  <c r="D37" i="2"/>
  <c r="M37" i="2" s="1"/>
  <c r="D38" i="2"/>
  <c r="M38" i="2" s="1"/>
  <c r="D40" i="2"/>
  <c r="D41" i="2"/>
  <c r="D42" i="2"/>
  <c r="M42" i="2" s="1"/>
  <c r="N42" i="2" s="1"/>
  <c r="D43" i="2"/>
  <c r="M43" i="2" s="1"/>
  <c r="N43" i="2" s="1"/>
  <c r="D44" i="2"/>
  <c r="D45" i="2"/>
  <c r="D46" i="2"/>
  <c r="D47" i="2"/>
  <c r="M47" i="2" s="1"/>
  <c r="N47" i="2" s="1"/>
  <c r="D48" i="2"/>
  <c r="D49" i="2"/>
  <c r="D50" i="2"/>
  <c r="D51" i="2"/>
  <c r="M51" i="2" s="1"/>
  <c r="N51" i="2" s="1"/>
  <c r="D52" i="2"/>
  <c r="D53" i="2"/>
  <c r="D54" i="2"/>
  <c r="D55" i="2"/>
  <c r="M55" i="2" s="1"/>
  <c r="N55" i="2" s="1"/>
  <c r="D56" i="2"/>
  <c r="D57" i="2"/>
  <c r="D58" i="2"/>
  <c r="D59" i="2"/>
  <c r="M59" i="2" s="1"/>
  <c r="N59" i="2" s="1"/>
  <c r="D60" i="2"/>
  <c r="D61" i="2"/>
  <c r="D62" i="2"/>
  <c r="M62" i="2" s="1"/>
  <c r="N62" i="2" s="1"/>
  <c r="D63" i="2"/>
  <c r="D64" i="2"/>
  <c r="D65" i="2"/>
  <c r="D66" i="2"/>
  <c r="M66" i="2" s="1"/>
  <c r="N66" i="2" s="1"/>
  <c r="D67" i="2"/>
  <c r="M67" i="2" s="1"/>
  <c r="D68" i="2"/>
  <c r="D69" i="2"/>
  <c r="D70" i="2"/>
  <c r="M70" i="2" s="1"/>
  <c r="D72" i="2"/>
  <c r="M72" i="2" s="1"/>
  <c r="D73" i="2"/>
  <c r="D74" i="2"/>
  <c r="D75" i="2"/>
  <c r="D76" i="2"/>
  <c r="M76" i="2" s="1"/>
  <c r="D77" i="2"/>
  <c r="D78" i="2"/>
  <c r="D79" i="2"/>
  <c r="D80" i="2"/>
  <c r="D81" i="2"/>
  <c r="D82" i="2"/>
  <c r="D83" i="2"/>
  <c r="M83" i="2" s="1"/>
  <c r="D84" i="2"/>
  <c r="D85" i="2"/>
  <c r="D86" i="2"/>
  <c r="D87" i="2"/>
  <c r="D88" i="2"/>
  <c r="M88" i="2" s="1"/>
  <c r="D89" i="2"/>
  <c r="D90" i="2"/>
  <c r="D91" i="2"/>
  <c r="D92" i="2"/>
  <c r="D93" i="2"/>
  <c r="D94" i="2"/>
  <c r="D95" i="2"/>
  <c r="D96" i="2"/>
  <c r="D97" i="2"/>
  <c r="D98" i="2"/>
  <c r="D99" i="2"/>
  <c r="M99" i="2" s="1"/>
  <c r="N99" i="2" s="1"/>
  <c r="D100" i="2"/>
  <c r="D101" i="2"/>
  <c r="D102" i="2"/>
  <c r="M101" i="2" l="1"/>
  <c r="M85" i="2"/>
  <c r="M81" i="2"/>
  <c r="N85" i="2"/>
  <c r="M74" i="2"/>
  <c r="N74" i="2" s="1"/>
  <c r="M65" i="2"/>
  <c r="N65" i="2" s="1"/>
  <c r="M61" i="2"/>
  <c r="N61" i="2" s="1"/>
  <c r="M57" i="2"/>
  <c r="M53" i="2"/>
  <c r="N53" i="2" s="1"/>
  <c r="M45" i="2"/>
  <c r="N45" i="2" s="1"/>
  <c r="M41" i="2"/>
  <c r="M102" i="2"/>
  <c r="N102" i="2" s="1"/>
  <c r="N101" i="2"/>
  <c r="M100" i="2"/>
  <c r="N100" i="2" s="1"/>
  <c r="M98" i="2"/>
  <c r="N98" i="2" s="1"/>
  <c r="M97" i="2"/>
  <c r="N97" i="2" s="1"/>
  <c r="M96" i="2"/>
  <c r="N96" i="2"/>
  <c r="M95" i="2"/>
  <c r="N95" i="2" s="1"/>
  <c r="M94" i="2"/>
  <c r="N94" i="2" s="1"/>
  <c r="M93" i="2"/>
  <c r="N93" i="2" s="1"/>
  <c r="M92" i="2"/>
  <c r="N92" i="2" s="1"/>
  <c r="M91" i="2"/>
  <c r="N91" i="2"/>
  <c r="M90" i="2"/>
  <c r="N90" i="2" s="1"/>
  <c r="M89" i="2"/>
  <c r="N89" i="2" s="1"/>
  <c r="N88" i="2"/>
  <c r="M87" i="2"/>
  <c r="N87" i="2" s="1"/>
  <c r="M86" i="2"/>
  <c r="N86" i="2" s="1"/>
  <c r="M84" i="2"/>
  <c r="N84" i="2" s="1"/>
  <c r="N83" i="2"/>
  <c r="M82" i="2"/>
  <c r="N82" i="2"/>
  <c r="N81" i="2"/>
  <c r="M80" i="2"/>
  <c r="N80" i="2"/>
  <c r="M78" i="2"/>
  <c r="N78" i="2" s="1"/>
  <c r="M77" i="2"/>
  <c r="N77" i="2" s="1"/>
  <c r="N76" i="2"/>
  <c r="M36" i="2"/>
  <c r="M63" i="2"/>
  <c r="N63" i="2" s="1"/>
  <c r="M58" i="2"/>
  <c r="M54" i="2"/>
  <c r="M50" i="2"/>
  <c r="N50" i="2" s="1"/>
  <c r="M46" i="2"/>
  <c r="N46" i="2" s="1"/>
  <c r="M75" i="2"/>
  <c r="N75" i="2" s="1"/>
  <c r="M73" i="2"/>
  <c r="N73" i="2" s="1"/>
  <c r="N72" i="2"/>
  <c r="N70" i="2"/>
  <c r="M69" i="2"/>
  <c r="N69" i="2" s="1"/>
  <c r="M68" i="2"/>
  <c r="N68" i="2" s="1"/>
  <c r="N67" i="2"/>
  <c r="M64" i="2"/>
  <c r="N64" i="2" s="1"/>
  <c r="M60" i="2"/>
  <c r="N60" i="2" s="1"/>
  <c r="N58" i="2"/>
  <c r="N57" i="2"/>
  <c r="M56" i="2"/>
  <c r="N56" i="2" s="1"/>
  <c r="N54" i="2"/>
  <c r="M52" i="2"/>
  <c r="N52" i="2" s="1"/>
  <c r="M49" i="2"/>
  <c r="N49" i="2" s="1"/>
  <c r="M48" i="2"/>
  <c r="N48" i="2" s="1"/>
  <c r="M44" i="2"/>
  <c r="N44" i="2" s="1"/>
  <c r="N41" i="2"/>
  <c r="M40" i="2"/>
  <c r="N40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L2" i="2"/>
  <c r="I2" i="2"/>
  <c r="D3" i="2"/>
  <c r="M3" i="2" s="1"/>
  <c r="D4" i="2"/>
  <c r="D5" i="2"/>
  <c r="M5" i="2" s="1"/>
  <c r="D6" i="2"/>
  <c r="D7" i="2"/>
  <c r="D8" i="2"/>
  <c r="D9" i="2"/>
  <c r="M9" i="2" s="1"/>
  <c r="D10" i="2"/>
  <c r="D11" i="2"/>
  <c r="D12" i="2"/>
  <c r="D13" i="2"/>
  <c r="M13" i="2" s="1"/>
  <c r="D14" i="2"/>
  <c r="D15" i="2"/>
  <c r="D16" i="2"/>
  <c r="D17" i="2"/>
  <c r="M17" i="2" s="1"/>
  <c r="D18" i="2"/>
  <c r="D19" i="2"/>
  <c r="D20" i="2"/>
  <c r="D21" i="2"/>
  <c r="M21" i="2" s="1"/>
  <c r="D22" i="2"/>
  <c r="D23" i="2"/>
  <c r="D24" i="2"/>
  <c r="D25" i="2"/>
  <c r="D26" i="2"/>
  <c r="D27" i="2"/>
  <c r="D28" i="2"/>
  <c r="D29" i="2"/>
  <c r="M29" i="2" s="1"/>
  <c r="D30" i="2"/>
  <c r="D31" i="2"/>
  <c r="D32" i="2"/>
  <c r="D33" i="2"/>
  <c r="D34" i="2"/>
  <c r="D35" i="2"/>
  <c r="D2" i="2"/>
  <c r="M2" i="2" s="1"/>
  <c r="M28" i="2" l="1"/>
  <c r="M24" i="2"/>
  <c r="M20" i="2"/>
  <c r="M16" i="2"/>
  <c r="M12" i="2"/>
  <c r="M8" i="2"/>
  <c r="M4" i="2"/>
  <c r="M27" i="2"/>
  <c r="M23" i="2"/>
  <c r="M19" i="2"/>
  <c r="M15" i="2"/>
  <c r="M7" i="2"/>
  <c r="M30" i="2"/>
  <c r="M26" i="2"/>
  <c r="M22" i="2"/>
  <c r="M18" i="2"/>
  <c r="M14" i="2"/>
  <c r="M10" i="2"/>
  <c r="M6" i="2"/>
  <c r="M35" i="2"/>
  <c r="M34" i="2"/>
  <c r="M33" i="2"/>
  <c r="M32" i="2"/>
  <c r="M31" i="2"/>
  <c r="M25" i="2"/>
  <c r="M11" i="2"/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3" i="1" s="1"/>
  <c r="J54" i="1" s="1"/>
  <c r="J55" i="1" s="1"/>
  <c r="J56" i="1" s="1"/>
  <c r="J57" i="1" s="1"/>
  <c r="J58" i="1" s="1"/>
  <c r="J59" i="1" s="1"/>
  <c r="J60" i="1" s="1"/>
  <c r="J61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E5" i="1"/>
  <c r="E6" i="1"/>
  <c r="E7" i="1"/>
  <c r="E8" i="1" s="1"/>
  <c r="E9" i="1" s="1"/>
  <c r="E10" i="1" s="1"/>
  <c r="E11" i="1" s="1"/>
  <c r="E12" i="1" s="1"/>
  <c r="E13" i="1" s="1"/>
  <c r="E14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3" i="1" s="1"/>
  <c r="E54" i="1" s="1"/>
  <c r="E55" i="1" s="1"/>
  <c r="E56" i="1" s="1"/>
  <c r="E57" i="1" s="1"/>
  <c r="E58" i="1" s="1"/>
  <c r="E59" i="1" s="1"/>
  <c r="E60" i="1" s="1"/>
  <c r="E61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80" i="1" s="1"/>
  <c r="E181" i="1" s="1"/>
  <c r="E182" i="1" s="1"/>
  <c r="E4" i="1"/>
  <c r="J153" i="1" l="1"/>
  <c r="J154" i="1" s="1"/>
  <c r="J155" i="1" s="1"/>
  <c r="J156" i="1" s="1"/>
  <c r="J157" i="1" s="1"/>
  <c r="J158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80" i="1" s="1"/>
  <c r="J181" i="1" s="1"/>
  <c r="J182" i="1" s="1"/>
  <c r="J3" i="1"/>
  <c r="H3" i="1"/>
  <c r="E3" i="1"/>
  <c r="E2" i="1"/>
</calcChain>
</file>

<file path=xl/sharedStrings.xml><?xml version="1.0" encoding="utf-8"?>
<sst xmlns="http://schemas.openxmlformats.org/spreadsheetml/2006/main" count="152" uniqueCount="48">
  <si>
    <t>DATE</t>
  </si>
  <si>
    <t>LOAD</t>
  </si>
  <si>
    <t>TOTAL</t>
  </si>
  <si>
    <t>SALE</t>
  </si>
  <si>
    <t>BALANCE</t>
  </si>
  <si>
    <t>P1</t>
  </si>
  <si>
    <t>P2</t>
  </si>
  <si>
    <t>PV</t>
  </si>
  <si>
    <t>TO PAY</t>
  </si>
  <si>
    <t>MPESA</t>
  </si>
  <si>
    <t>CASH</t>
  </si>
  <si>
    <t>EXP</t>
  </si>
  <si>
    <t>NET</t>
  </si>
  <si>
    <t>1/18/11</t>
  </si>
  <si>
    <t>18/19/11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</si>
  <si>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</si>
  <si>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VAR</t>
  </si>
  <si>
    <t>CASH OUT</t>
  </si>
  <si>
    <t>AGO1</t>
  </si>
  <si>
    <t>AGO2</t>
  </si>
  <si>
    <t>MGDI</t>
  </si>
  <si>
    <t>KMTH</t>
  </si>
  <si>
    <t>KAU</t>
  </si>
  <si>
    <t>MBUVI</t>
  </si>
  <si>
    <t>MBITI</t>
  </si>
  <si>
    <t>KAMUYU</t>
  </si>
  <si>
    <t>NGOVI</t>
  </si>
  <si>
    <t>wambua nzagi</t>
  </si>
  <si>
    <t>MBWAU</t>
  </si>
  <si>
    <t>T</t>
  </si>
  <si>
    <t>MESHACK</t>
  </si>
  <si>
    <t xml:space="preserve">                               </t>
  </si>
  <si>
    <t>WAMBUA</t>
  </si>
  <si>
    <t>MULEI</t>
  </si>
  <si>
    <t>NDEMWA</t>
  </si>
  <si>
    <t>9967+556</t>
  </si>
  <si>
    <t>KE767</t>
  </si>
  <si>
    <t>ISAAK</t>
  </si>
  <si>
    <t>CB2000</t>
  </si>
  <si>
    <t>AY1000</t>
  </si>
  <si>
    <t>MUSILI</t>
  </si>
  <si>
    <t>INVOICE</t>
  </si>
  <si>
    <t>EQUITY</t>
  </si>
  <si>
    <t>RATE</t>
  </si>
  <si>
    <t>LITRES</t>
  </si>
  <si>
    <t>PAYMT</t>
  </si>
  <si>
    <t>COOP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</si>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</sst>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0"/>
  <sheetViews>
    <sheetView topLeftCell="A139" workbookViewId="0">
      <selection activeCell="K157" sqref="K157"/>
    </sheetView>
  </sheetViews>
  <sheetFormatPr defaultRowHeight="15" x14ac:dyDescent="0.25"/>
  <cols>
    <col min="1" max="1" width="10.7109375" bestFit="1" customWidth="1"/>
  </cols>
  <sheetData>
    <row r="1" spans="1:13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5</v>
      </c>
      <c r="K1" t="s">
        <v>6</v>
      </c>
      <c r="L1" t="s">
        <v>7</v>
      </c>
      <c r="M1" t="s">
        <v>2</v>
      </c>
    </row>
    <row r="2" spans="1:13" x14ac:dyDescent="0.25">
      <c r="A2" s="2">
        <v>45589</v>
      </c>
      <c r="B2">
        <v>837280</v>
      </c>
      <c r="C2">
        <v>785740</v>
      </c>
      <c r="D2">
        <f>B2-C2</f>
        <v>51540</v>
      </c>
      <c r="E2">
        <v>15275</v>
      </c>
      <c r="F2">
        <v>40225</v>
      </c>
      <c r="G2">
        <v>36970</v>
      </c>
      <c r="H2">
        <v>800</v>
      </c>
      <c r="I2">
        <f>E2+F2+G2+H2</f>
        <v>93270</v>
      </c>
      <c r="J2">
        <v>198417</v>
      </c>
      <c r="K2">
        <v>156686</v>
      </c>
      <c r="L2">
        <f>J2-K2</f>
        <v>41731</v>
      </c>
      <c r="M2">
        <f>D2+L2</f>
        <v>93271</v>
      </c>
    </row>
    <row r="3" spans="1:13" x14ac:dyDescent="0.25">
      <c r="A3" s="2">
        <v>45590</v>
      </c>
      <c r="B3">
        <v>895985</v>
      </c>
      <c r="C3">
        <v>837280</v>
      </c>
      <c r="D3">
        <f t="shared" ref="D3:D67" si="0">B3-C3</f>
        <v>58705</v>
      </c>
      <c r="E3">
        <v>22252</v>
      </c>
      <c r="F3">
        <v>35170</v>
      </c>
      <c r="G3">
        <v>31585</v>
      </c>
      <c r="H3">
        <v>800</v>
      </c>
      <c r="I3">
        <f t="shared" ref="I3:I67" si="1">E3+F3+G3+H3</f>
        <v>89807</v>
      </c>
      <c r="J3">
        <v>229520</v>
      </c>
      <c r="K3">
        <v>198417</v>
      </c>
      <c r="L3">
        <f t="shared" ref="L3:L67" si="2">J3-K3</f>
        <v>31103</v>
      </c>
      <c r="M3">
        <f>D3+L3</f>
        <v>89808</v>
      </c>
    </row>
    <row r="4" spans="1:13" x14ac:dyDescent="0.25">
      <c r="A4" s="2">
        <v>45591</v>
      </c>
      <c r="B4">
        <v>1017647</v>
      </c>
      <c r="C4">
        <v>895985</v>
      </c>
      <c r="D4">
        <f t="shared" si="0"/>
        <v>121662</v>
      </c>
      <c r="E4">
        <v>16251</v>
      </c>
      <c r="F4">
        <v>67863</v>
      </c>
      <c r="G4">
        <v>61250</v>
      </c>
      <c r="H4">
        <v>800</v>
      </c>
      <c r="I4">
        <f t="shared" si="1"/>
        <v>146164</v>
      </c>
      <c r="J4">
        <v>254022</v>
      </c>
      <c r="K4">
        <v>229520</v>
      </c>
      <c r="L4">
        <f t="shared" si="2"/>
        <v>24502</v>
      </c>
      <c r="M4">
        <f>D4+L4</f>
        <v>146164</v>
      </c>
    </row>
    <row r="5" spans="1:13" x14ac:dyDescent="0.25">
      <c r="A5" s="2">
        <v>45592</v>
      </c>
      <c r="B5">
        <v>84108</v>
      </c>
      <c r="C5">
        <v>17647</v>
      </c>
      <c r="D5">
        <f t="shared" si="0"/>
        <v>66461</v>
      </c>
      <c r="E5">
        <v>1000</v>
      </c>
      <c r="F5">
        <v>42531</v>
      </c>
      <c r="G5">
        <v>27580</v>
      </c>
      <c r="H5">
        <v>800</v>
      </c>
      <c r="I5">
        <f t="shared" si="1"/>
        <v>71911</v>
      </c>
      <c r="J5">
        <v>259474</v>
      </c>
      <c r="K5">
        <v>254022</v>
      </c>
      <c r="L5">
        <f t="shared" si="2"/>
        <v>5452</v>
      </c>
      <c r="M5">
        <f t="shared" ref="M5:M69" si="3">D5+L5</f>
        <v>71913</v>
      </c>
    </row>
    <row r="6" spans="1:13" x14ac:dyDescent="0.25">
      <c r="A6" s="2">
        <v>45593</v>
      </c>
      <c r="B6">
        <v>148468</v>
      </c>
      <c r="C6">
        <v>84108</v>
      </c>
      <c r="D6">
        <f t="shared" si="0"/>
        <v>64360</v>
      </c>
      <c r="E6">
        <v>3060</v>
      </c>
      <c r="F6">
        <v>69010</v>
      </c>
      <c r="H6">
        <v>2200</v>
      </c>
      <c r="I6">
        <f t="shared" si="1"/>
        <v>74270</v>
      </c>
      <c r="J6">
        <v>268934</v>
      </c>
      <c r="K6">
        <v>259474</v>
      </c>
      <c r="L6">
        <f t="shared" si="2"/>
        <v>9460</v>
      </c>
      <c r="M6">
        <f t="shared" si="3"/>
        <v>73820</v>
      </c>
    </row>
    <row r="7" spans="1:13" x14ac:dyDescent="0.25">
      <c r="A7" s="2">
        <v>45594</v>
      </c>
      <c r="B7">
        <v>286059</v>
      </c>
      <c r="C7">
        <v>148468</v>
      </c>
      <c r="D7">
        <f t="shared" si="0"/>
        <v>137591</v>
      </c>
      <c r="E7">
        <v>4397</v>
      </c>
      <c r="F7">
        <v>53480</v>
      </c>
      <c r="G7">
        <v>74055</v>
      </c>
      <c r="H7">
        <v>25800</v>
      </c>
      <c r="I7">
        <f t="shared" si="1"/>
        <v>157732</v>
      </c>
      <c r="J7">
        <v>289073</v>
      </c>
      <c r="K7">
        <v>268934</v>
      </c>
      <c r="L7">
        <f t="shared" si="2"/>
        <v>20139</v>
      </c>
      <c r="M7">
        <f t="shared" si="3"/>
        <v>157730</v>
      </c>
    </row>
    <row r="8" spans="1:13" x14ac:dyDescent="0.25">
      <c r="A8" s="2">
        <v>45595</v>
      </c>
      <c r="B8">
        <v>359580</v>
      </c>
      <c r="C8">
        <v>286059</v>
      </c>
      <c r="D8">
        <f t="shared" si="0"/>
        <v>73521</v>
      </c>
      <c r="E8">
        <v>1000</v>
      </c>
      <c r="F8">
        <v>32717</v>
      </c>
      <c r="G8">
        <v>46505</v>
      </c>
      <c r="H8">
        <v>800</v>
      </c>
      <c r="I8">
        <f t="shared" si="1"/>
        <v>81022</v>
      </c>
      <c r="J8">
        <v>296573</v>
      </c>
      <c r="K8">
        <v>289073</v>
      </c>
      <c r="L8">
        <f t="shared" si="2"/>
        <v>7500</v>
      </c>
      <c r="M8">
        <f t="shared" si="3"/>
        <v>81021</v>
      </c>
    </row>
    <row r="9" spans="1:13" x14ac:dyDescent="0.25">
      <c r="A9" s="2">
        <v>45596</v>
      </c>
      <c r="B9">
        <v>413850</v>
      </c>
      <c r="C9">
        <v>359580</v>
      </c>
      <c r="D9">
        <f t="shared" si="0"/>
        <v>54270</v>
      </c>
      <c r="E9">
        <v>17471</v>
      </c>
      <c r="F9">
        <v>12557</v>
      </c>
      <c r="G9">
        <v>46360</v>
      </c>
      <c r="H9">
        <v>800</v>
      </c>
      <c r="I9">
        <f t="shared" si="1"/>
        <v>77188</v>
      </c>
      <c r="J9">
        <v>319495</v>
      </c>
      <c r="K9">
        <v>296573</v>
      </c>
      <c r="L9">
        <f t="shared" si="2"/>
        <v>22922</v>
      </c>
      <c r="M9">
        <f t="shared" si="3"/>
        <v>77192</v>
      </c>
    </row>
    <row r="10" spans="1:13" x14ac:dyDescent="0.25">
      <c r="A10" s="2">
        <v>45597</v>
      </c>
      <c r="B10">
        <v>505308</v>
      </c>
      <c r="C10">
        <v>413850</v>
      </c>
      <c r="D10">
        <f t="shared" si="0"/>
        <v>91458</v>
      </c>
      <c r="E10">
        <v>1805</v>
      </c>
      <c r="F10">
        <v>44942</v>
      </c>
      <c r="G10">
        <v>53395</v>
      </c>
      <c r="H10">
        <v>800</v>
      </c>
      <c r="I10">
        <f t="shared" si="1"/>
        <v>100942</v>
      </c>
      <c r="J10">
        <v>328981</v>
      </c>
      <c r="K10">
        <v>319495</v>
      </c>
      <c r="L10">
        <f t="shared" si="2"/>
        <v>9486</v>
      </c>
      <c r="M10">
        <f t="shared" si="3"/>
        <v>100944</v>
      </c>
    </row>
    <row r="11" spans="1:13" x14ac:dyDescent="0.25">
      <c r="A11" s="2">
        <v>45598</v>
      </c>
      <c r="B11">
        <v>581843</v>
      </c>
      <c r="C11">
        <v>505308</v>
      </c>
      <c r="D11">
        <f t="shared" si="0"/>
        <v>76535</v>
      </c>
      <c r="E11">
        <v>9000</v>
      </c>
      <c r="F11">
        <v>34405</v>
      </c>
      <c r="G11">
        <v>44530</v>
      </c>
      <c r="H11">
        <v>800</v>
      </c>
      <c r="I11">
        <f t="shared" si="1"/>
        <v>88735</v>
      </c>
      <c r="J11">
        <v>341181</v>
      </c>
      <c r="K11">
        <v>328981</v>
      </c>
      <c r="L11">
        <f t="shared" si="2"/>
        <v>12200</v>
      </c>
      <c r="M11">
        <f t="shared" si="3"/>
        <v>88735</v>
      </c>
    </row>
    <row r="12" spans="1:13" x14ac:dyDescent="0.25">
      <c r="A12" s="2">
        <v>45599</v>
      </c>
      <c r="B12">
        <v>674055</v>
      </c>
      <c r="C12">
        <v>581843</v>
      </c>
      <c r="D12">
        <f t="shared" si="0"/>
        <v>92212</v>
      </c>
      <c r="E12">
        <v>5860</v>
      </c>
      <c r="F12">
        <v>71709</v>
      </c>
      <c r="G12">
        <v>29555</v>
      </c>
      <c r="H12">
        <v>800</v>
      </c>
      <c r="I12">
        <f t="shared" si="1"/>
        <v>107924</v>
      </c>
      <c r="J12">
        <v>356893</v>
      </c>
      <c r="K12">
        <v>341181</v>
      </c>
      <c r="L12">
        <f t="shared" si="2"/>
        <v>15712</v>
      </c>
      <c r="M12">
        <f t="shared" si="3"/>
        <v>107924</v>
      </c>
    </row>
    <row r="13" spans="1:13" x14ac:dyDescent="0.25">
      <c r="A13" s="2">
        <v>45600</v>
      </c>
      <c r="B13">
        <v>761041</v>
      </c>
      <c r="C13">
        <v>674055</v>
      </c>
      <c r="D13">
        <f t="shared" si="0"/>
        <v>86986</v>
      </c>
      <c r="E13">
        <v>16835</v>
      </c>
      <c r="F13">
        <v>55350</v>
      </c>
      <c r="G13">
        <v>35185</v>
      </c>
      <c r="H13">
        <v>2200</v>
      </c>
      <c r="I13">
        <f t="shared" si="1"/>
        <v>109570</v>
      </c>
      <c r="J13">
        <v>379476</v>
      </c>
      <c r="K13">
        <v>356893</v>
      </c>
      <c r="L13">
        <f t="shared" si="2"/>
        <v>22583</v>
      </c>
      <c r="M13">
        <f t="shared" si="3"/>
        <v>109569</v>
      </c>
    </row>
    <row r="14" spans="1:13" x14ac:dyDescent="0.25">
      <c r="A14" s="2">
        <v>45601</v>
      </c>
      <c r="B14">
        <v>897339</v>
      </c>
      <c r="C14">
        <v>761041</v>
      </c>
      <c r="D14">
        <f t="shared" si="0"/>
        <v>136298</v>
      </c>
      <c r="E14">
        <v>6000</v>
      </c>
      <c r="F14">
        <v>33967</v>
      </c>
      <c r="G14">
        <v>102980</v>
      </c>
      <c r="H14">
        <v>800</v>
      </c>
      <c r="I14">
        <f t="shared" si="1"/>
        <v>143747</v>
      </c>
      <c r="J14">
        <v>386926</v>
      </c>
      <c r="K14">
        <v>379476</v>
      </c>
      <c r="L14">
        <f t="shared" si="2"/>
        <v>7450</v>
      </c>
      <c r="M14">
        <f t="shared" si="3"/>
        <v>143748</v>
      </c>
    </row>
    <row r="15" spans="1:13" x14ac:dyDescent="0.25">
      <c r="A15" s="2">
        <v>45602</v>
      </c>
      <c r="B15">
        <v>950630</v>
      </c>
      <c r="C15">
        <v>897339</v>
      </c>
      <c r="D15">
        <f t="shared" si="0"/>
        <v>53291</v>
      </c>
      <c r="E15">
        <v>13701</v>
      </c>
      <c r="F15">
        <v>21580</v>
      </c>
      <c r="G15">
        <v>36160</v>
      </c>
      <c r="H15">
        <v>300</v>
      </c>
      <c r="I15">
        <f t="shared" si="1"/>
        <v>71741</v>
      </c>
      <c r="J15">
        <v>405378</v>
      </c>
      <c r="K15">
        <v>386926</v>
      </c>
      <c r="L15">
        <f t="shared" si="2"/>
        <v>18452</v>
      </c>
      <c r="M15">
        <f t="shared" si="3"/>
        <v>71743</v>
      </c>
    </row>
    <row r="16" spans="1:13" x14ac:dyDescent="0.25">
      <c r="A16" s="2">
        <v>45603</v>
      </c>
      <c r="B16">
        <v>1007465</v>
      </c>
      <c r="C16">
        <v>950630</v>
      </c>
      <c r="D16">
        <f t="shared" si="0"/>
        <v>56835</v>
      </c>
      <c r="E16">
        <v>3851</v>
      </c>
      <c r="F16">
        <v>24630</v>
      </c>
      <c r="G16">
        <v>37405</v>
      </c>
      <c r="H16">
        <v>800</v>
      </c>
      <c r="I16">
        <f t="shared" si="1"/>
        <v>66686</v>
      </c>
      <c r="J16">
        <v>415229</v>
      </c>
      <c r="K16">
        <v>405378</v>
      </c>
      <c r="L16">
        <f t="shared" si="2"/>
        <v>9851</v>
      </c>
      <c r="M16">
        <f t="shared" si="3"/>
        <v>66686</v>
      </c>
    </row>
    <row r="17" spans="1:14" x14ac:dyDescent="0.25">
      <c r="A17" s="2">
        <v>45604</v>
      </c>
      <c r="B17">
        <v>75063</v>
      </c>
      <c r="C17">
        <v>7465</v>
      </c>
      <c r="D17">
        <f t="shared" si="0"/>
        <v>67598</v>
      </c>
      <c r="E17">
        <v>18106</v>
      </c>
      <c r="F17">
        <v>21405</v>
      </c>
      <c r="G17">
        <v>51895</v>
      </c>
      <c r="H17">
        <v>300</v>
      </c>
      <c r="I17">
        <f t="shared" si="1"/>
        <v>91706</v>
      </c>
      <c r="J17">
        <v>439335</v>
      </c>
      <c r="K17">
        <v>415229</v>
      </c>
      <c r="L17">
        <f t="shared" si="2"/>
        <v>24106</v>
      </c>
      <c r="M17">
        <f t="shared" si="3"/>
        <v>91704</v>
      </c>
    </row>
    <row r="18" spans="1:14" x14ac:dyDescent="0.25">
      <c r="A18" s="2">
        <v>45605</v>
      </c>
      <c r="B18">
        <v>178734</v>
      </c>
      <c r="C18">
        <v>75063</v>
      </c>
      <c r="D18">
        <f t="shared" si="0"/>
        <v>103671</v>
      </c>
      <c r="E18">
        <v>14263</v>
      </c>
      <c r="F18">
        <v>29490</v>
      </c>
      <c r="G18">
        <v>73960</v>
      </c>
      <c r="H18">
        <v>800</v>
      </c>
      <c r="I18">
        <f t="shared" si="1"/>
        <v>118513</v>
      </c>
      <c r="J18">
        <v>454179</v>
      </c>
      <c r="K18">
        <v>439335</v>
      </c>
      <c r="L18">
        <f t="shared" si="2"/>
        <v>14844</v>
      </c>
      <c r="M18">
        <f t="shared" si="3"/>
        <v>118515</v>
      </c>
    </row>
    <row r="19" spans="1:14" x14ac:dyDescent="0.25">
      <c r="A19" s="2">
        <v>45606</v>
      </c>
      <c r="B19">
        <v>246017</v>
      </c>
      <c r="C19">
        <v>178734</v>
      </c>
      <c r="D19">
        <f t="shared" si="0"/>
        <v>67283</v>
      </c>
      <c r="F19">
        <v>24730</v>
      </c>
      <c r="G19">
        <v>42025</v>
      </c>
      <c r="H19">
        <v>1780</v>
      </c>
      <c r="I19">
        <f t="shared" si="1"/>
        <v>68535</v>
      </c>
      <c r="J19">
        <v>455429</v>
      </c>
      <c r="K19">
        <v>454179</v>
      </c>
      <c r="L19">
        <f t="shared" si="2"/>
        <v>1250</v>
      </c>
      <c r="M19">
        <f t="shared" si="3"/>
        <v>68533</v>
      </c>
    </row>
    <row r="20" spans="1:14" x14ac:dyDescent="0.25">
      <c r="A20" s="2">
        <v>45607</v>
      </c>
      <c r="B20">
        <v>306630</v>
      </c>
      <c r="C20">
        <v>246017</v>
      </c>
      <c r="D20">
        <f t="shared" si="0"/>
        <v>60613</v>
      </c>
      <c r="E20">
        <v>22717</v>
      </c>
      <c r="F20">
        <v>51978</v>
      </c>
      <c r="G20">
        <v>5636</v>
      </c>
      <c r="H20">
        <v>2200</v>
      </c>
      <c r="I20">
        <f t="shared" si="1"/>
        <v>82531</v>
      </c>
      <c r="J20">
        <v>477347</v>
      </c>
      <c r="K20">
        <v>455429</v>
      </c>
      <c r="L20">
        <f t="shared" si="2"/>
        <v>21918</v>
      </c>
      <c r="M20">
        <f t="shared" si="3"/>
        <v>82531</v>
      </c>
    </row>
    <row r="21" spans="1:14" x14ac:dyDescent="0.25">
      <c r="A21" s="2">
        <v>45608</v>
      </c>
      <c r="B21">
        <v>443920</v>
      </c>
      <c r="C21">
        <v>306630</v>
      </c>
      <c r="D21">
        <f t="shared" si="0"/>
        <v>137290</v>
      </c>
      <c r="E21">
        <v>1750</v>
      </c>
      <c r="F21">
        <v>46980</v>
      </c>
      <c r="G21">
        <v>102510</v>
      </c>
      <c r="H21">
        <v>300</v>
      </c>
      <c r="I21">
        <f t="shared" si="1"/>
        <v>151540</v>
      </c>
      <c r="J21">
        <v>491597</v>
      </c>
      <c r="K21">
        <v>477347</v>
      </c>
      <c r="L21">
        <f t="shared" si="2"/>
        <v>14250</v>
      </c>
      <c r="M21">
        <f t="shared" si="3"/>
        <v>151540</v>
      </c>
    </row>
    <row r="22" spans="1:14" x14ac:dyDescent="0.25">
      <c r="A22" s="2">
        <v>45609</v>
      </c>
      <c r="B22">
        <v>520211</v>
      </c>
      <c r="C22">
        <v>443920</v>
      </c>
      <c r="D22">
        <f t="shared" si="0"/>
        <v>76291</v>
      </c>
      <c r="E22">
        <v>6737</v>
      </c>
      <c r="F22">
        <v>60465</v>
      </c>
      <c r="G22">
        <v>21695</v>
      </c>
      <c r="H22">
        <v>800</v>
      </c>
      <c r="I22">
        <f t="shared" si="1"/>
        <v>89697</v>
      </c>
      <c r="J22">
        <v>505005</v>
      </c>
      <c r="K22">
        <v>491597</v>
      </c>
      <c r="L22">
        <f t="shared" si="2"/>
        <v>13408</v>
      </c>
      <c r="M22">
        <f t="shared" si="3"/>
        <v>89699</v>
      </c>
    </row>
    <row r="23" spans="1:14" x14ac:dyDescent="0.25">
      <c r="A23" s="2">
        <v>45610</v>
      </c>
      <c r="B23">
        <v>578414</v>
      </c>
      <c r="C23">
        <v>520211</v>
      </c>
      <c r="D23">
        <f t="shared" si="0"/>
        <v>58203</v>
      </c>
      <c r="E23">
        <v>17343</v>
      </c>
      <c r="F23">
        <v>20010</v>
      </c>
      <c r="G23">
        <v>39480</v>
      </c>
      <c r="H23">
        <v>1213</v>
      </c>
      <c r="I23">
        <f t="shared" si="1"/>
        <v>78046</v>
      </c>
      <c r="J23">
        <v>524849</v>
      </c>
      <c r="K23">
        <v>505005</v>
      </c>
      <c r="L23">
        <f t="shared" si="2"/>
        <v>19844</v>
      </c>
      <c r="M23">
        <f t="shared" si="3"/>
        <v>78047</v>
      </c>
    </row>
    <row r="24" spans="1:14" x14ac:dyDescent="0.25">
      <c r="A24" s="2">
        <v>45611</v>
      </c>
      <c r="B24">
        <v>636749</v>
      </c>
      <c r="C24">
        <v>578414</v>
      </c>
      <c r="D24">
        <f t="shared" si="0"/>
        <v>58335</v>
      </c>
      <c r="E24">
        <v>6471</v>
      </c>
      <c r="F24">
        <v>26664</v>
      </c>
      <c r="G24">
        <v>30235</v>
      </c>
      <c r="H24">
        <v>800</v>
      </c>
      <c r="I24">
        <f t="shared" si="1"/>
        <v>64170</v>
      </c>
      <c r="J24">
        <v>530686</v>
      </c>
      <c r="K24">
        <v>524849</v>
      </c>
      <c r="L24">
        <f t="shared" si="2"/>
        <v>5837</v>
      </c>
      <c r="M24">
        <f t="shared" si="3"/>
        <v>64172</v>
      </c>
    </row>
    <row r="25" spans="1:14" x14ac:dyDescent="0.25">
      <c r="A25" s="2">
        <v>45612</v>
      </c>
      <c r="B25">
        <v>703101</v>
      </c>
      <c r="C25">
        <v>636749</v>
      </c>
      <c r="D25">
        <f t="shared" si="0"/>
        <v>66352</v>
      </c>
      <c r="E25">
        <v>3390</v>
      </c>
      <c r="F25">
        <v>26648</v>
      </c>
      <c r="G25">
        <v>45805</v>
      </c>
      <c r="H25">
        <v>300</v>
      </c>
      <c r="I25">
        <f t="shared" si="1"/>
        <v>76143</v>
      </c>
      <c r="J25">
        <v>540477</v>
      </c>
      <c r="K25">
        <v>530686</v>
      </c>
      <c r="L25">
        <f t="shared" si="2"/>
        <v>9791</v>
      </c>
      <c r="M25">
        <f t="shared" si="3"/>
        <v>76143</v>
      </c>
    </row>
    <row r="26" spans="1:14" x14ac:dyDescent="0.25">
      <c r="A26" s="2">
        <v>45613</v>
      </c>
      <c r="B26">
        <v>755923</v>
      </c>
      <c r="C26">
        <v>703101</v>
      </c>
      <c r="D26">
        <f t="shared" si="0"/>
        <v>52822</v>
      </c>
      <c r="F26">
        <v>33780</v>
      </c>
      <c r="G26">
        <v>17740</v>
      </c>
      <c r="H26">
        <v>800</v>
      </c>
      <c r="I26">
        <f t="shared" si="1"/>
        <v>52320</v>
      </c>
      <c r="J26">
        <v>540977</v>
      </c>
      <c r="K26">
        <v>540477</v>
      </c>
      <c r="L26">
        <f t="shared" si="2"/>
        <v>500</v>
      </c>
      <c r="M26">
        <f t="shared" si="3"/>
        <v>53322</v>
      </c>
      <c r="N26">
        <v>-1000</v>
      </c>
    </row>
    <row r="27" spans="1:14" x14ac:dyDescent="0.25">
      <c r="A27" t="s">
        <v>14</v>
      </c>
      <c r="B27">
        <v>898354</v>
      </c>
      <c r="C27">
        <v>755923</v>
      </c>
      <c r="D27">
        <f t="shared" si="0"/>
        <v>142431</v>
      </c>
      <c r="E27">
        <v>8361</v>
      </c>
      <c r="F27">
        <v>76076</v>
      </c>
      <c r="G27">
        <v>77295</v>
      </c>
      <c r="H27">
        <v>5000</v>
      </c>
      <c r="I27">
        <f t="shared" si="1"/>
        <v>166732</v>
      </c>
      <c r="J27">
        <v>565218</v>
      </c>
      <c r="K27">
        <v>540977</v>
      </c>
      <c r="L27">
        <f t="shared" si="2"/>
        <v>24241</v>
      </c>
      <c r="M27">
        <f t="shared" si="3"/>
        <v>166672</v>
      </c>
    </row>
    <row r="28" spans="1:14" x14ac:dyDescent="0.25">
      <c r="A28" s="2">
        <v>45616</v>
      </c>
      <c r="B28">
        <v>944485</v>
      </c>
      <c r="C28">
        <v>898354</v>
      </c>
      <c r="D28">
        <f t="shared" si="0"/>
        <v>46131</v>
      </c>
      <c r="F28">
        <v>22812</v>
      </c>
      <c r="G28">
        <v>26649</v>
      </c>
      <c r="H28">
        <v>800</v>
      </c>
      <c r="I28">
        <f t="shared" si="1"/>
        <v>50261</v>
      </c>
      <c r="J28">
        <v>569408</v>
      </c>
      <c r="K28">
        <v>565278</v>
      </c>
      <c r="L28">
        <f t="shared" si="2"/>
        <v>4130</v>
      </c>
      <c r="M28">
        <f t="shared" si="3"/>
        <v>50261</v>
      </c>
    </row>
    <row r="29" spans="1:14" x14ac:dyDescent="0.25">
      <c r="A29" s="2">
        <v>45617</v>
      </c>
      <c r="B29">
        <v>999871</v>
      </c>
      <c r="C29">
        <v>944985</v>
      </c>
      <c r="D29">
        <f t="shared" si="0"/>
        <v>54886</v>
      </c>
      <c r="E29">
        <v>1500</v>
      </c>
      <c r="F29">
        <v>26148</v>
      </c>
      <c r="G29">
        <v>29470</v>
      </c>
      <c r="H29">
        <v>300</v>
      </c>
      <c r="I29">
        <f t="shared" si="1"/>
        <v>57418</v>
      </c>
      <c r="J29">
        <v>571438</v>
      </c>
      <c r="K29">
        <v>569408</v>
      </c>
      <c r="L29">
        <f t="shared" si="2"/>
        <v>2030</v>
      </c>
      <c r="M29">
        <f t="shared" si="3"/>
        <v>56916</v>
      </c>
    </row>
    <row r="30" spans="1:14" x14ac:dyDescent="0.25">
      <c r="A30" s="2">
        <v>45618</v>
      </c>
      <c r="B30">
        <v>1065329</v>
      </c>
      <c r="C30">
        <v>999871</v>
      </c>
      <c r="D30">
        <f t="shared" si="0"/>
        <v>65458</v>
      </c>
      <c r="E30">
        <v>19518</v>
      </c>
      <c r="F30">
        <v>19518</v>
      </c>
      <c r="G30">
        <v>36270</v>
      </c>
      <c r="H30">
        <v>36695</v>
      </c>
      <c r="I30">
        <f t="shared" si="1"/>
        <v>112001</v>
      </c>
      <c r="J30">
        <v>599261</v>
      </c>
      <c r="K30">
        <v>571438</v>
      </c>
      <c r="L30">
        <f t="shared" si="2"/>
        <v>27823</v>
      </c>
      <c r="M30">
        <f t="shared" si="3"/>
        <v>93281</v>
      </c>
    </row>
    <row r="31" spans="1:14" x14ac:dyDescent="0.25">
      <c r="A31" s="2">
        <v>45619</v>
      </c>
      <c r="B31">
        <v>136182</v>
      </c>
      <c r="C31">
        <v>65329</v>
      </c>
      <c r="D31">
        <f t="shared" si="0"/>
        <v>70853</v>
      </c>
      <c r="E31">
        <v>9300</v>
      </c>
      <c r="F31">
        <v>34696</v>
      </c>
      <c r="G31">
        <v>29510</v>
      </c>
      <c r="H31">
        <v>300</v>
      </c>
      <c r="I31" t="s">
        <v>15</v>
      </c>
      <c r="J31">
        <v>602217</v>
      </c>
      <c r="K31">
        <v>599261</v>
      </c>
      <c r="L31">
        <f t="shared" si="2"/>
        <v>2956</v>
      </c>
      <c r="M31">
        <f t="shared" si="3"/>
        <v>73809</v>
      </c>
    </row>
    <row r="32" spans="1:14" x14ac:dyDescent="0.25">
      <c r="A32" s="2">
        <v>45620</v>
      </c>
      <c r="B32">
        <v>220785</v>
      </c>
      <c r="C32">
        <v>136182</v>
      </c>
      <c r="D32">
        <f t="shared" si="0"/>
        <v>84603</v>
      </c>
      <c r="E32">
        <v>3740</v>
      </c>
      <c r="F32">
        <v>54537</v>
      </c>
      <c r="G32">
        <v>31365</v>
      </c>
      <c r="H32">
        <v>5300</v>
      </c>
      <c r="I32">
        <f t="shared" si="1"/>
        <v>94942</v>
      </c>
      <c r="J32">
        <v>608951</v>
      </c>
      <c r="K32">
        <v>602217</v>
      </c>
      <c r="L32">
        <f t="shared" si="2"/>
        <v>6734</v>
      </c>
      <c r="M32">
        <f t="shared" si="3"/>
        <v>91337</v>
      </c>
    </row>
    <row r="33" spans="1:19" x14ac:dyDescent="0.25">
      <c r="A33" s="2">
        <v>45621</v>
      </c>
      <c r="B33">
        <v>292945</v>
      </c>
      <c r="C33">
        <v>220785</v>
      </c>
      <c r="D33">
        <f t="shared" si="0"/>
        <v>72160</v>
      </c>
      <c r="E33">
        <v>1192</v>
      </c>
      <c r="F33">
        <v>43285</v>
      </c>
      <c r="G33">
        <v>32075</v>
      </c>
      <c r="H33">
        <v>1700</v>
      </c>
      <c r="I33">
        <f t="shared" si="1"/>
        <v>78252</v>
      </c>
      <c r="J33">
        <v>615044</v>
      </c>
      <c r="K33">
        <v>608951</v>
      </c>
      <c r="L33">
        <f t="shared" si="2"/>
        <v>6093</v>
      </c>
      <c r="M33">
        <f t="shared" si="3"/>
        <v>78253</v>
      </c>
    </row>
    <row r="34" spans="1:19" x14ac:dyDescent="0.25">
      <c r="A34" s="2">
        <v>45622</v>
      </c>
      <c r="B34">
        <v>405331</v>
      </c>
      <c r="C34">
        <v>292945</v>
      </c>
      <c r="D34">
        <f t="shared" si="0"/>
        <v>112386</v>
      </c>
      <c r="F34">
        <v>33950</v>
      </c>
      <c r="G34">
        <v>80635</v>
      </c>
      <c r="H34">
        <v>300</v>
      </c>
      <c r="I34">
        <f t="shared" si="1"/>
        <v>114885</v>
      </c>
      <c r="J34">
        <v>617544</v>
      </c>
      <c r="K34">
        <v>615044</v>
      </c>
      <c r="L34">
        <f t="shared" si="2"/>
        <v>2500</v>
      </c>
      <c r="M34">
        <f t="shared" si="3"/>
        <v>114886</v>
      </c>
    </row>
    <row r="35" spans="1:19" x14ac:dyDescent="0.25">
      <c r="A35" s="2">
        <v>45623</v>
      </c>
      <c r="B35">
        <v>465975</v>
      </c>
      <c r="C35">
        <v>405331</v>
      </c>
      <c r="D35">
        <f t="shared" si="0"/>
        <v>60644</v>
      </c>
      <c r="E35">
        <v>9642</v>
      </c>
      <c r="F35">
        <v>34222</v>
      </c>
      <c r="G35">
        <v>29670</v>
      </c>
      <c r="H35">
        <v>300</v>
      </c>
      <c r="I35">
        <f t="shared" si="1"/>
        <v>73834</v>
      </c>
      <c r="J35">
        <v>630736</v>
      </c>
      <c r="K35">
        <v>617544</v>
      </c>
      <c r="L35">
        <f t="shared" si="2"/>
        <v>13192</v>
      </c>
      <c r="M35">
        <f t="shared" si="3"/>
        <v>73836</v>
      </c>
    </row>
    <row r="36" spans="1:19" x14ac:dyDescent="0.25">
      <c r="A36" s="2">
        <v>45624</v>
      </c>
      <c r="B36">
        <v>512925</v>
      </c>
      <c r="C36">
        <v>465975</v>
      </c>
      <c r="D36">
        <f t="shared" si="0"/>
        <v>46950</v>
      </c>
      <c r="E36">
        <v>2988</v>
      </c>
      <c r="F36">
        <v>39070</v>
      </c>
      <c r="G36">
        <v>20980</v>
      </c>
      <c r="H36">
        <v>300</v>
      </c>
      <c r="I36">
        <f t="shared" si="1"/>
        <v>63338</v>
      </c>
      <c r="J36">
        <v>647124</v>
      </c>
      <c r="K36">
        <v>630736</v>
      </c>
      <c r="L36">
        <f t="shared" si="2"/>
        <v>16388</v>
      </c>
      <c r="M36">
        <f t="shared" si="3"/>
        <v>63338</v>
      </c>
    </row>
    <row r="37" spans="1:19" x14ac:dyDescent="0.25">
      <c r="A37" s="2">
        <v>45625</v>
      </c>
      <c r="B37">
        <v>599045</v>
      </c>
      <c r="C37">
        <v>512925</v>
      </c>
      <c r="D37">
        <f t="shared" si="0"/>
        <v>86120</v>
      </c>
      <c r="E37">
        <v>22429</v>
      </c>
      <c r="F37">
        <v>39940</v>
      </c>
      <c r="G37">
        <v>53730</v>
      </c>
      <c r="H37">
        <v>300</v>
      </c>
      <c r="I37">
        <f t="shared" si="1"/>
        <v>116399</v>
      </c>
      <c r="J37">
        <v>677404</v>
      </c>
      <c r="K37">
        <v>647124</v>
      </c>
      <c r="L37">
        <f t="shared" si="2"/>
        <v>30280</v>
      </c>
      <c r="M37">
        <f t="shared" si="3"/>
        <v>116400</v>
      </c>
    </row>
    <row r="38" spans="1:19" x14ac:dyDescent="0.25">
      <c r="A38" s="2">
        <v>45626</v>
      </c>
      <c r="B38">
        <v>645506</v>
      </c>
      <c r="C38">
        <v>599045</v>
      </c>
      <c r="D38">
        <f t="shared" si="0"/>
        <v>46461</v>
      </c>
      <c r="E38">
        <v>6270</v>
      </c>
      <c r="F38">
        <v>21440</v>
      </c>
      <c r="G38">
        <v>21550</v>
      </c>
      <c r="H38">
        <v>300</v>
      </c>
      <c r="I38">
        <f t="shared" si="1"/>
        <v>49560</v>
      </c>
      <c r="J38">
        <v>680504</v>
      </c>
      <c r="K38">
        <v>677404</v>
      </c>
      <c r="L38">
        <f t="shared" si="2"/>
        <v>3100</v>
      </c>
      <c r="M38">
        <f t="shared" si="3"/>
        <v>49561</v>
      </c>
    </row>
    <row r="39" spans="1:19" x14ac:dyDescent="0.25">
      <c r="A39" s="2"/>
      <c r="B39" t="s">
        <v>5</v>
      </c>
      <c r="C39" t="s">
        <v>6</v>
      </c>
      <c r="D39" t="s">
        <v>16</v>
      </c>
      <c r="E39" t="s">
        <v>8</v>
      </c>
      <c r="F39" t="s">
        <v>9</v>
      </c>
      <c r="G39" t="s">
        <v>10</v>
      </c>
      <c r="H39" t="s">
        <v>17</v>
      </c>
      <c r="I39" t="s">
        <v>12</v>
      </c>
      <c r="J39" t="s">
        <v>18</v>
      </c>
      <c r="K39" t="s">
        <v>19</v>
      </c>
      <c r="L39" t="s">
        <v>16</v>
      </c>
      <c r="M39" t="s">
        <v>2</v>
      </c>
      <c r="O39" t="s">
        <v>20</v>
      </c>
      <c r="P39" t="s">
        <v>21</v>
      </c>
      <c r="Q39" t="s">
        <v>22</v>
      </c>
      <c r="R39" t="s">
        <v>23</v>
      </c>
      <c r="S39" t="s">
        <v>24</v>
      </c>
    </row>
    <row r="40" spans="1:19" x14ac:dyDescent="0.25">
      <c r="A40" s="2">
        <v>45627</v>
      </c>
      <c r="B40">
        <v>717775</v>
      </c>
      <c r="C40">
        <v>645506</v>
      </c>
      <c r="D40">
        <f t="shared" si="0"/>
        <v>72269</v>
      </c>
      <c r="F40">
        <v>39265</v>
      </c>
      <c r="G40">
        <v>35935</v>
      </c>
      <c r="H40">
        <v>800</v>
      </c>
      <c r="I40">
        <f t="shared" si="1"/>
        <v>76000</v>
      </c>
      <c r="J40">
        <v>684234</v>
      </c>
      <c r="K40">
        <v>680504</v>
      </c>
      <c r="L40">
        <f t="shared" si="2"/>
        <v>3730</v>
      </c>
      <c r="M40">
        <f t="shared" si="3"/>
        <v>75999</v>
      </c>
      <c r="N40">
        <f>I40-M40</f>
        <v>1</v>
      </c>
    </row>
    <row r="41" spans="1:19" x14ac:dyDescent="0.25">
      <c r="A41" s="2">
        <v>45628</v>
      </c>
      <c r="B41">
        <v>791576</v>
      </c>
      <c r="C41">
        <v>717775</v>
      </c>
      <c r="D41">
        <f t="shared" si="0"/>
        <v>73801</v>
      </c>
      <c r="E41">
        <v>1565</v>
      </c>
      <c r="F41">
        <v>35705</v>
      </c>
      <c r="G41">
        <v>40295</v>
      </c>
      <c r="H41">
        <v>2700</v>
      </c>
      <c r="I41">
        <f t="shared" si="1"/>
        <v>80265</v>
      </c>
      <c r="J41">
        <v>690899</v>
      </c>
      <c r="K41">
        <v>684234</v>
      </c>
      <c r="L41">
        <f t="shared" si="2"/>
        <v>6665</v>
      </c>
      <c r="M41">
        <f t="shared" si="3"/>
        <v>80466</v>
      </c>
      <c r="N41">
        <f>I41-M41</f>
        <v>-201</v>
      </c>
    </row>
    <row r="42" spans="1:19" x14ac:dyDescent="0.25">
      <c r="A42" s="2">
        <v>45629</v>
      </c>
      <c r="B42">
        <v>920542</v>
      </c>
      <c r="C42">
        <v>791576</v>
      </c>
      <c r="D42">
        <f t="shared" si="0"/>
        <v>128966</v>
      </c>
      <c r="E42">
        <v>23808</v>
      </c>
      <c r="F42">
        <v>41585</v>
      </c>
      <c r="G42">
        <v>93630</v>
      </c>
      <c r="H42">
        <v>800</v>
      </c>
      <c r="I42">
        <f t="shared" si="1"/>
        <v>159823</v>
      </c>
      <c r="J42">
        <v>721757</v>
      </c>
      <c r="K42">
        <v>690899</v>
      </c>
      <c r="L42">
        <f t="shared" si="2"/>
        <v>30858</v>
      </c>
      <c r="M42">
        <f t="shared" si="3"/>
        <v>159824</v>
      </c>
      <c r="N42">
        <f t="shared" ref="N42:N103" si="4">I42-M42</f>
        <v>-1</v>
      </c>
    </row>
    <row r="43" spans="1:19" x14ac:dyDescent="0.25">
      <c r="A43" s="2">
        <v>45630</v>
      </c>
      <c r="B43">
        <v>982675</v>
      </c>
      <c r="C43">
        <v>920542</v>
      </c>
      <c r="D43">
        <f t="shared" si="0"/>
        <v>62133</v>
      </c>
      <c r="E43">
        <v>2000</v>
      </c>
      <c r="F43">
        <v>24522</v>
      </c>
      <c r="G43">
        <v>41810</v>
      </c>
      <c r="H43">
        <v>800</v>
      </c>
      <c r="I43">
        <f t="shared" si="1"/>
        <v>69132</v>
      </c>
      <c r="J43">
        <v>728757</v>
      </c>
      <c r="K43">
        <v>721757</v>
      </c>
      <c r="L43">
        <f t="shared" si="2"/>
        <v>7000</v>
      </c>
      <c r="M43">
        <f t="shared" si="3"/>
        <v>69133</v>
      </c>
      <c r="N43">
        <f t="shared" si="4"/>
        <v>-1</v>
      </c>
    </row>
    <row r="44" spans="1:19" x14ac:dyDescent="0.25">
      <c r="A44" s="2">
        <v>45631</v>
      </c>
      <c r="B44">
        <v>1037145</v>
      </c>
      <c r="C44">
        <v>982675</v>
      </c>
      <c r="D44">
        <f t="shared" si="0"/>
        <v>54470</v>
      </c>
      <c r="E44">
        <v>12479</v>
      </c>
      <c r="F44">
        <v>23630</v>
      </c>
      <c r="G44">
        <v>33740</v>
      </c>
      <c r="H44">
        <v>800</v>
      </c>
      <c r="I44">
        <f t="shared" si="1"/>
        <v>70649</v>
      </c>
      <c r="J44">
        <v>744938</v>
      </c>
      <c r="K44">
        <v>728757</v>
      </c>
      <c r="L44">
        <f t="shared" si="2"/>
        <v>16181</v>
      </c>
      <c r="M44">
        <f t="shared" si="3"/>
        <v>70651</v>
      </c>
      <c r="N44">
        <f t="shared" si="4"/>
        <v>-2</v>
      </c>
    </row>
    <row r="45" spans="1:19" x14ac:dyDescent="0.25">
      <c r="A45" s="2">
        <v>45632</v>
      </c>
      <c r="B45">
        <v>113880</v>
      </c>
      <c r="C45">
        <v>37145</v>
      </c>
      <c r="D45">
        <f t="shared" si="0"/>
        <v>76735</v>
      </c>
      <c r="E45">
        <v>20415</v>
      </c>
      <c r="F45">
        <v>40140</v>
      </c>
      <c r="G45">
        <v>33245</v>
      </c>
      <c r="H45">
        <v>14800</v>
      </c>
      <c r="I45">
        <f t="shared" si="1"/>
        <v>108600</v>
      </c>
      <c r="J45">
        <v>776804</v>
      </c>
      <c r="K45">
        <v>744938</v>
      </c>
      <c r="L45">
        <f t="shared" si="2"/>
        <v>31866</v>
      </c>
      <c r="M45">
        <f t="shared" si="3"/>
        <v>108601</v>
      </c>
      <c r="N45">
        <f t="shared" si="4"/>
        <v>-1</v>
      </c>
    </row>
    <row r="46" spans="1:19" x14ac:dyDescent="0.25">
      <c r="A46" s="2">
        <v>45633</v>
      </c>
      <c r="B46">
        <v>203536</v>
      </c>
      <c r="C46">
        <v>113880</v>
      </c>
      <c r="D46">
        <f t="shared" si="0"/>
        <v>89656</v>
      </c>
      <c r="E46">
        <v>16646</v>
      </c>
      <c r="F46">
        <v>32510</v>
      </c>
      <c r="G46">
        <v>50800</v>
      </c>
      <c r="H46">
        <v>800</v>
      </c>
      <c r="I46">
        <f t="shared" si="1"/>
        <v>100756</v>
      </c>
      <c r="J46">
        <v>787903</v>
      </c>
      <c r="K46">
        <v>776804</v>
      </c>
      <c r="L46">
        <f t="shared" si="2"/>
        <v>11099</v>
      </c>
      <c r="M46">
        <f t="shared" si="3"/>
        <v>100755</v>
      </c>
      <c r="N46">
        <f t="shared" si="4"/>
        <v>1</v>
      </c>
    </row>
    <row r="47" spans="1:19" x14ac:dyDescent="0.25">
      <c r="A47" s="2">
        <v>45634</v>
      </c>
      <c r="B47">
        <v>272726</v>
      </c>
      <c r="C47">
        <v>203536</v>
      </c>
      <c r="D47">
        <f t="shared" si="0"/>
        <v>69190</v>
      </c>
      <c r="E47">
        <v>1500</v>
      </c>
      <c r="F47">
        <v>39143</v>
      </c>
      <c r="G47">
        <v>30850</v>
      </c>
      <c r="H47">
        <v>800</v>
      </c>
      <c r="I47">
        <f t="shared" si="1"/>
        <v>72293</v>
      </c>
      <c r="J47">
        <v>791003</v>
      </c>
      <c r="K47">
        <v>787903</v>
      </c>
      <c r="L47">
        <f t="shared" si="2"/>
        <v>3100</v>
      </c>
      <c r="M47">
        <f t="shared" si="3"/>
        <v>72290</v>
      </c>
      <c r="N47">
        <f t="shared" si="4"/>
        <v>3</v>
      </c>
    </row>
    <row r="48" spans="1:19" x14ac:dyDescent="0.25">
      <c r="A48" s="2">
        <v>45635</v>
      </c>
      <c r="B48">
        <v>350362</v>
      </c>
      <c r="C48">
        <v>272726</v>
      </c>
      <c r="D48">
        <f t="shared" si="0"/>
        <v>77636</v>
      </c>
      <c r="E48">
        <v>20317</v>
      </c>
      <c r="F48">
        <v>44597</v>
      </c>
      <c r="G48">
        <v>38720</v>
      </c>
      <c r="H48">
        <v>7491</v>
      </c>
      <c r="I48">
        <f t="shared" si="1"/>
        <v>111125</v>
      </c>
      <c r="J48">
        <v>825388</v>
      </c>
      <c r="K48">
        <v>791003</v>
      </c>
      <c r="L48">
        <f t="shared" si="2"/>
        <v>34385</v>
      </c>
      <c r="M48">
        <f t="shared" si="3"/>
        <v>112021</v>
      </c>
      <c r="N48">
        <f t="shared" si="4"/>
        <v>-896</v>
      </c>
    </row>
    <row r="49" spans="1:22" x14ac:dyDescent="0.25">
      <c r="A49" s="2">
        <v>45636</v>
      </c>
      <c r="B49">
        <v>474550</v>
      </c>
      <c r="C49">
        <v>350362</v>
      </c>
      <c r="D49">
        <f t="shared" si="0"/>
        <v>124188</v>
      </c>
      <c r="E49">
        <v>17420</v>
      </c>
      <c r="F49">
        <v>34851</v>
      </c>
      <c r="G49">
        <v>100980</v>
      </c>
      <c r="H49">
        <v>800</v>
      </c>
      <c r="I49">
        <f t="shared" si="1"/>
        <v>154051</v>
      </c>
      <c r="J49">
        <v>855249</v>
      </c>
      <c r="K49">
        <v>825388</v>
      </c>
      <c r="L49">
        <f t="shared" si="2"/>
        <v>29861</v>
      </c>
      <c r="M49">
        <f t="shared" si="3"/>
        <v>154049</v>
      </c>
      <c r="N49">
        <f t="shared" si="4"/>
        <v>2</v>
      </c>
    </row>
    <row r="50" spans="1:22" x14ac:dyDescent="0.25">
      <c r="A50" s="2">
        <v>45637</v>
      </c>
      <c r="B50">
        <v>546957</v>
      </c>
      <c r="C50">
        <v>474550</v>
      </c>
      <c r="D50">
        <f t="shared" si="0"/>
        <v>72407</v>
      </c>
      <c r="E50">
        <v>30796</v>
      </c>
      <c r="F50">
        <v>28858</v>
      </c>
      <c r="G50">
        <v>45700</v>
      </c>
      <c r="H50">
        <v>800</v>
      </c>
      <c r="I50">
        <f t="shared" si="1"/>
        <v>106154</v>
      </c>
      <c r="J50">
        <v>888996</v>
      </c>
      <c r="K50">
        <v>855249</v>
      </c>
      <c r="L50">
        <f t="shared" si="2"/>
        <v>33747</v>
      </c>
      <c r="M50">
        <f t="shared" si="3"/>
        <v>106154</v>
      </c>
      <c r="N50">
        <f t="shared" si="4"/>
        <v>0</v>
      </c>
    </row>
    <row r="51" spans="1:22" x14ac:dyDescent="0.25">
      <c r="A51" s="2">
        <v>45638</v>
      </c>
      <c r="B51">
        <v>601122</v>
      </c>
      <c r="C51">
        <v>546957</v>
      </c>
      <c r="D51">
        <f t="shared" si="0"/>
        <v>54165</v>
      </c>
      <c r="E51">
        <v>4477</v>
      </c>
      <c r="F51">
        <v>26549</v>
      </c>
      <c r="G51">
        <v>28460</v>
      </c>
      <c r="H51">
        <v>800</v>
      </c>
      <c r="I51">
        <f t="shared" si="1"/>
        <v>60286</v>
      </c>
      <c r="J51">
        <v>895114</v>
      </c>
      <c r="K51">
        <v>888996</v>
      </c>
      <c r="L51">
        <f t="shared" si="2"/>
        <v>6118</v>
      </c>
      <c r="M51">
        <f t="shared" si="3"/>
        <v>60283</v>
      </c>
      <c r="N51">
        <f t="shared" si="4"/>
        <v>3</v>
      </c>
    </row>
    <row r="52" spans="1:22" x14ac:dyDescent="0.25">
      <c r="A52" s="2">
        <v>45639</v>
      </c>
      <c r="B52">
        <v>689748</v>
      </c>
      <c r="C52">
        <v>601122</v>
      </c>
      <c r="D52">
        <f t="shared" si="0"/>
        <v>88626</v>
      </c>
      <c r="E52">
        <v>7867</v>
      </c>
      <c r="F52">
        <v>50350</v>
      </c>
      <c r="G52">
        <v>43090</v>
      </c>
      <c r="H52">
        <v>800</v>
      </c>
      <c r="I52">
        <f t="shared" si="1"/>
        <v>102107</v>
      </c>
      <c r="J52">
        <v>908596</v>
      </c>
      <c r="K52">
        <v>895114</v>
      </c>
      <c r="L52">
        <f t="shared" si="2"/>
        <v>13482</v>
      </c>
      <c r="M52">
        <f t="shared" si="3"/>
        <v>102108</v>
      </c>
      <c r="N52">
        <f t="shared" si="4"/>
        <v>-1</v>
      </c>
    </row>
    <row r="53" spans="1:22" x14ac:dyDescent="0.25">
      <c r="A53" s="2">
        <v>45640</v>
      </c>
      <c r="B53">
        <v>763473</v>
      </c>
      <c r="C53">
        <v>689748</v>
      </c>
      <c r="D53">
        <f t="shared" si="0"/>
        <v>73725</v>
      </c>
      <c r="E53">
        <v>3671</v>
      </c>
      <c r="F53">
        <v>31085</v>
      </c>
      <c r="G53">
        <v>44910</v>
      </c>
      <c r="H53">
        <v>800</v>
      </c>
      <c r="I53">
        <f t="shared" si="1"/>
        <v>80466</v>
      </c>
      <c r="J53">
        <v>915338</v>
      </c>
      <c r="K53">
        <v>908596</v>
      </c>
      <c r="L53">
        <f t="shared" si="2"/>
        <v>6742</v>
      </c>
      <c r="M53">
        <f t="shared" si="3"/>
        <v>80467</v>
      </c>
      <c r="N53">
        <f t="shared" si="4"/>
        <v>-1</v>
      </c>
    </row>
    <row r="54" spans="1:22" x14ac:dyDescent="0.25">
      <c r="A54" s="2">
        <v>45641</v>
      </c>
      <c r="B54">
        <v>809644</v>
      </c>
      <c r="C54">
        <v>763473</v>
      </c>
      <c r="D54">
        <f t="shared" si="0"/>
        <v>46171</v>
      </c>
      <c r="E54">
        <v>0</v>
      </c>
      <c r="F54">
        <v>13530</v>
      </c>
      <c r="G54">
        <v>35340</v>
      </c>
      <c r="H54">
        <v>800</v>
      </c>
      <c r="I54">
        <f t="shared" si="1"/>
        <v>49670</v>
      </c>
      <c r="J54">
        <v>918838</v>
      </c>
      <c r="K54">
        <v>915338</v>
      </c>
      <c r="L54">
        <f t="shared" si="2"/>
        <v>3500</v>
      </c>
      <c r="M54">
        <f t="shared" si="3"/>
        <v>49671</v>
      </c>
      <c r="N54">
        <f t="shared" si="4"/>
        <v>-1</v>
      </c>
    </row>
    <row r="55" spans="1:22" x14ac:dyDescent="0.25">
      <c r="A55" s="2">
        <v>45642</v>
      </c>
      <c r="B55">
        <v>905540</v>
      </c>
      <c r="C55">
        <v>809644</v>
      </c>
      <c r="D55">
        <f t="shared" si="0"/>
        <v>95896</v>
      </c>
      <c r="E55">
        <v>12148</v>
      </c>
      <c r="F55">
        <v>40815</v>
      </c>
      <c r="G55">
        <v>53380</v>
      </c>
      <c r="H55">
        <v>2200</v>
      </c>
      <c r="I55">
        <f t="shared" si="1"/>
        <v>108543</v>
      </c>
      <c r="J55">
        <v>931487</v>
      </c>
      <c r="K55">
        <v>918838</v>
      </c>
      <c r="L55">
        <f t="shared" si="2"/>
        <v>12649</v>
      </c>
      <c r="M55">
        <f t="shared" si="3"/>
        <v>108545</v>
      </c>
      <c r="N55">
        <f t="shared" si="4"/>
        <v>-2</v>
      </c>
    </row>
    <row r="56" spans="1:22" x14ac:dyDescent="0.25">
      <c r="A56" s="2">
        <v>45643</v>
      </c>
      <c r="B56">
        <v>967907</v>
      </c>
      <c r="C56">
        <v>905540</v>
      </c>
      <c r="D56">
        <f t="shared" si="0"/>
        <v>62367</v>
      </c>
      <c r="E56">
        <v>2000</v>
      </c>
      <c r="F56">
        <v>49490</v>
      </c>
      <c r="G56">
        <v>11377</v>
      </c>
      <c r="H56">
        <v>800</v>
      </c>
      <c r="I56">
        <f t="shared" si="1"/>
        <v>63667</v>
      </c>
      <c r="J56">
        <v>935187</v>
      </c>
      <c r="K56">
        <v>931487</v>
      </c>
      <c r="L56">
        <f t="shared" si="2"/>
        <v>3700</v>
      </c>
      <c r="M56">
        <f t="shared" si="3"/>
        <v>66067</v>
      </c>
      <c r="N56">
        <f t="shared" si="4"/>
        <v>-2400</v>
      </c>
    </row>
    <row r="57" spans="1:22" x14ac:dyDescent="0.25">
      <c r="A57" s="2">
        <v>45644</v>
      </c>
      <c r="B57">
        <v>97789</v>
      </c>
      <c r="C57">
        <v>67907</v>
      </c>
      <c r="D57">
        <f t="shared" si="0"/>
        <v>29882</v>
      </c>
      <c r="E57">
        <v>2000</v>
      </c>
      <c r="F57">
        <v>10093</v>
      </c>
      <c r="G57">
        <v>7360</v>
      </c>
      <c r="H57">
        <v>20800</v>
      </c>
      <c r="I57">
        <f t="shared" si="1"/>
        <v>40253</v>
      </c>
      <c r="J57">
        <v>545557</v>
      </c>
      <c r="K57">
        <v>935187</v>
      </c>
      <c r="L57">
        <f t="shared" si="2"/>
        <v>-389630</v>
      </c>
      <c r="M57">
        <f t="shared" si="3"/>
        <v>-359748</v>
      </c>
      <c r="N57">
        <f t="shared" si="4"/>
        <v>400001</v>
      </c>
    </row>
    <row r="58" spans="1:22" x14ac:dyDescent="0.25">
      <c r="A58" s="2">
        <v>45645</v>
      </c>
      <c r="B58">
        <v>187592</v>
      </c>
      <c r="C58">
        <v>97789</v>
      </c>
      <c r="D58">
        <f t="shared" si="0"/>
        <v>89803</v>
      </c>
      <c r="E58">
        <v>18611</v>
      </c>
      <c r="F58">
        <v>36428</v>
      </c>
      <c r="G58">
        <v>55420</v>
      </c>
      <c r="H58">
        <v>800</v>
      </c>
      <c r="I58">
        <f t="shared" si="1"/>
        <v>111259</v>
      </c>
      <c r="J58">
        <v>967011</v>
      </c>
      <c r="K58">
        <v>945557</v>
      </c>
      <c r="L58">
        <f t="shared" si="2"/>
        <v>21454</v>
      </c>
      <c r="M58">
        <f t="shared" si="3"/>
        <v>111257</v>
      </c>
      <c r="N58">
        <f t="shared" si="4"/>
        <v>2</v>
      </c>
    </row>
    <row r="59" spans="1:22" x14ac:dyDescent="0.25">
      <c r="A59" s="2">
        <v>45646</v>
      </c>
      <c r="B59">
        <v>267806</v>
      </c>
      <c r="C59">
        <v>187592</v>
      </c>
      <c r="D59">
        <f t="shared" si="0"/>
        <v>80214</v>
      </c>
      <c r="E59">
        <v>0</v>
      </c>
      <c r="F59">
        <v>52140</v>
      </c>
      <c r="G59">
        <v>36125</v>
      </c>
      <c r="H59">
        <v>1513</v>
      </c>
      <c r="I59">
        <f t="shared" si="1"/>
        <v>89778</v>
      </c>
      <c r="J59">
        <v>976578</v>
      </c>
      <c r="K59">
        <v>967011</v>
      </c>
      <c r="L59">
        <f t="shared" si="2"/>
        <v>9567</v>
      </c>
      <c r="M59">
        <f t="shared" si="3"/>
        <v>89781</v>
      </c>
      <c r="N59">
        <f t="shared" si="4"/>
        <v>-3</v>
      </c>
    </row>
    <row r="60" spans="1:22" x14ac:dyDescent="0.25">
      <c r="A60" s="2">
        <v>45647</v>
      </c>
      <c r="B60">
        <v>338043</v>
      </c>
      <c r="C60">
        <v>267806</v>
      </c>
      <c r="D60">
        <f t="shared" si="0"/>
        <v>70237</v>
      </c>
      <c r="E60">
        <v>5566</v>
      </c>
      <c r="F60">
        <v>30090</v>
      </c>
      <c r="G60">
        <v>38280</v>
      </c>
      <c r="H60">
        <v>800</v>
      </c>
      <c r="I60">
        <f t="shared" si="1"/>
        <v>74736</v>
      </c>
      <c r="J60">
        <v>981078</v>
      </c>
      <c r="K60">
        <v>976578</v>
      </c>
      <c r="L60">
        <f t="shared" si="2"/>
        <v>4500</v>
      </c>
      <c r="M60">
        <f t="shared" si="3"/>
        <v>74737</v>
      </c>
      <c r="N60">
        <f t="shared" si="4"/>
        <v>-1</v>
      </c>
    </row>
    <row r="61" spans="1:22" x14ac:dyDescent="0.25">
      <c r="A61" s="2">
        <v>45648</v>
      </c>
      <c r="B61">
        <v>415353</v>
      </c>
      <c r="C61">
        <v>338043</v>
      </c>
      <c r="D61">
        <f t="shared" si="0"/>
        <v>77310</v>
      </c>
      <c r="E61">
        <v>4600</v>
      </c>
      <c r="F61">
        <v>42190</v>
      </c>
      <c r="G61">
        <v>35620</v>
      </c>
      <c r="H61">
        <v>800</v>
      </c>
      <c r="I61">
        <f t="shared" si="1"/>
        <v>83210</v>
      </c>
      <c r="J61">
        <v>986978</v>
      </c>
      <c r="K61">
        <v>981078</v>
      </c>
      <c r="L61">
        <f t="shared" si="2"/>
        <v>5900</v>
      </c>
      <c r="M61">
        <f t="shared" si="3"/>
        <v>83210</v>
      </c>
      <c r="N61">
        <f t="shared" si="4"/>
        <v>0</v>
      </c>
    </row>
    <row r="62" spans="1:22" x14ac:dyDescent="0.25">
      <c r="A62" s="2">
        <v>45649</v>
      </c>
      <c r="B62">
        <v>496869</v>
      </c>
      <c r="C62">
        <v>415353</v>
      </c>
      <c r="D62">
        <f t="shared" si="0"/>
        <v>81516</v>
      </c>
      <c r="E62">
        <v>17180</v>
      </c>
      <c r="F62">
        <v>57561</v>
      </c>
      <c r="G62">
        <v>21755</v>
      </c>
      <c r="H62">
        <v>2200</v>
      </c>
      <c r="I62">
        <f t="shared" si="1"/>
        <v>98696</v>
      </c>
      <c r="J62">
        <v>1004159</v>
      </c>
      <c r="K62">
        <v>986978</v>
      </c>
      <c r="L62">
        <f t="shared" si="2"/>
        <v>17181</v>
      </c>
      <c r="M62">
        <f t="shared" si="3"/>
        <v>98697</v>
      </c>
      <c r="N62">
        <f t="shared" si="4"/>
        <v>-1</v>
      </c>
    </row>
    <row r="63" spans="1:22" x14ac:dyDescent="0.25">
      <c r="A63" s="2">
        <v>45650</v>
      </c>
      <c r="B63">
        <v>709266</v>
      </c>
      <c r="C63">
        <v>496869</v>
      </c>
      <c r="D63">
        <f t="shared" si="0"/>
        <v>212397</v>
      </c>
      <c r="E63">
        <v>11356</v>
      </c>
      <c r="F63">
        <v>83865</v>
      </c>
      <c r="G63">
        <v>128150</v>
      </c>
      <c r="H63">
        <v>800</v>
      </c>
      <c r="I63">
        <f t="shared" si="1"/>
        <v>224171</v>
      </c>
      <c r="J63">
        <v>15936</v>
      </c>
      <c r="K63">
        <v>4149</v>
      </c>
      <c r="L63">
        <f t="shared" si="2"/>
        <v>11787</v>
      </c>
      <c r="M63">
        <f t="shared" si="3"/>
        <v>224184</v>
      </c>
      <c r="N63">
        <f t="shared" si="4"/>
        <v>-13</v>
      </c>
    </row>
    <row r="64" spans="1:22" x14ac:dyDescent="0.25">
      <c r="A64" s="2">
        <v>45651</v>
      </c>
      <c r="B64">
        <v>801172</v>
      </c>
      <c r="C64">
        <v>709266</v>
      </c>
      <c r="D64">
        <f t="shared" si="0"/>
        <v>91906</v>
      </c>
      <c r="E64">
        <v>12000</v>
      </c>
      <c r="F64">
        <v>44906</v>
      </c>
      <c r="G64">
        <v>45900</v>
      </c>
      <c r="H64">
        <v>800</v>
      </c>
      <c r="I64">
        <f t="shared" si="1"/>
        <v>103606</v>
      </c>
      <c r="J64">
        <v>27636</v>
      </c>
      <c r="K64">
        <v>15936</v>
      </c>
      <c r="L64">
        <f t="shared" si="2"/>
        <v>11700</v>
      </c>
      <c r="M64">
        <f t="shared" si="3"/>
        <v>103606</v>
      </c>
      <c r="N64">
        <f t="shared" si="4"/>
        <v>0</v>
      </c>
      <c r="S64" t="s">
        <v>24</v>
      </c>
      <c r="T64" t="s">
        <v>25</v>
      </c>
      <c r="U64" t="s">
        <v>26</v>
      </c>
      <c r="V64" t="s">
        <v>27</v>
      </c>
    </row>
    <row r="65" spans="1:23" x14ac:dyDescent="0.25">
      <c r="A65" s="2">
        <v>45652</v>
      </c>
      <c r="B65">
        <v>884139</v>
      </c>
      <c r="C65">
        <v>801172</v>
      </c>
      <c r="D65">
        <f t="shared" si="0"/>
        <v>82967</v>
      </c>
      <c r="E65">
        <v>19769</v>
      </c>
      <c r="F65">
        <v>53860</v>
      </c>
      <c r="G65">
        <v>39780</v>
      </c>
      <c r="H65">
        <v>800</v>
      </c>
      <c r="I65">
        <f t="shared" si="1"/>
        <v>114209</v>
      </c>
      <c r="J65">
        <v>58846</v>
      </c>
      <c r="K65">
        <v>27636</v>
      </c>
      <c r="L65">
        <f t="shared" si="2"/>
        <v>31210</v>
      </c>
      <c r="M65">
        <f t="shared" si="3"/>
        <v>114177</v>
      </c>
      <c r="N65">
        <f t="shared" si="4"/>
        <v>32</v>
      </c>
      <c r="O65">
        <v>14569</v>
      </c>
      <c r="P65">
        <v>5000</v>
      </c>
      <c r="Q65" s="3">
        <v>200</v>
      </c>
    </row>
    <row r="66" spans="1:23" x14ac:dyDescent="0.25">
      <c r="A66" s="2">
        <v>45653</v>
      </c>
      <c r="B66">
        <v>977064</v>
      </c>
      <c r="C66">
        <v>884139</v>
      </c>
      <c r="D66">
        <f t="shared" si="0"/>
        <v>92925</v>
      </c>
      <c r="E66">
        <v>6506</v>
      </c>
      <c r="F66">
        <v>54658</v>
      </c>
      <c r="G66">
        <v>40970</v>
      </c>
      <c r="H66">
        <v>800</v>
      </c>
      <c r="I66">
        <f t="shared" si="1"/>
        <v>102934</v>
      </c>
      <c r="J66">
        <v>68853</v>
      </c>
      <c r="K66">
        <v>58846</v>
      </c>
      <c r="L66">
        <f t="shared" si="2"/>
        <v>10007</v>
      </c>
      <c r="M66">
        <f t="shared" si="3"/>
        <v>102932</v>
      </c>
      <c r="N66">
        <f t="shared" si="4"/>
        <v>2</v>
      </c>
      <c r="O66">
        <v>2506</v>
      </c>
      <c r="R66" s="3">
        <v>4000</v>
      </c>
    </row>
    <row r="67" spans="1:23" x14ac:dyDescent="0.25">
      <c r="A67" s="2">
        <v>45654</v>
      </c>
      <c r="B67">
        <v>1112217</v>
      </c>
      <c r="C67">
        <v>977064</v>
      </c>
      <c r="D67">
        <f t="shared" si="0"/>
        <v>135153</v>
      </c>
      <c r="E67">
        <v>8030</v>
      </c>
      <c r="F67">
        <v>84027</v>
      </c>
      <c r="G67">
        <v>50630</v>
      </c>
      <c r="H67">
        <v>800</v>
      </c>
      <c r="I67">
        <f t="shared" si="1"/>
        <v>143487</v>
      </c>
      <c r="J67">
        <v>77189</v>
      </c>
      <c r="K67">
        <v>68853</v>
      </c>
      <c r="L67">
        <f t="shared" si="2"/>
        <v>8336</v>
      </c>
      <c r="M67">
        <f t="shared" si="3"/>
        <v>143489</v>
      </c>
      <c r="N67">
        <f t="shared" si="4"/>
        <v>-2</v>
      </c>
    </row>
    <row r="68" spans="1:23" x14ac:dyDescent="0.25">
      <c r="A68" s="2">
        <v>45655</v>
      </c>
      <c r="B68">
        <v>196457</v>
      </c>
      <c r="C68">
        <v>112217</v>
      </c>
      <c r="D68">
        <f t="shared" ref="D68:D103" si="5">B68-C68</f>
        <v>84240</v>
      </c>
      <c r="E68">
        <v>5000</v>
      </c>
      <c r="F68">
        <v>38110</v>
      </c>
      <c r="G68">
        <v>52230</v>
      </c>
      <c r="H68">
        <v>800</v>
      </c>
      <c r="I68">
        <f t="shared" ref="I68:I103" si="6">E68+F68+G68+H68</f>
        <v>96140</v>
      </c>
      <c r="J68">
        <v>89089</v>
      </c>
      <c r="K68">
        <v>77189</v>
      </c>
      <c r="L68">
        <f t="shared" ref="L68:L103" si="7">J68-K68</f>
        <v>11900</v>
      </c>
      <c r="M68">
        <f t="shared" si="3"/>
        <v>96140</v>
      </c>
      <c r="N68">
        <f t="shared" si="4"/>
        <v>0</v>
      </c>
      <c r="R68" s="3">
        <v>1000</v>
      </c>
      <c r="S68" s="3">
        <v>1000</v>
      </c>
      <c r="T68" s="3">
        <v>3000</v>
      </c>
    </row>
    <row r="69" spans="1:23" x14ac:dyDescent="0.25">
      <c r="A69" s="2">
        <v>45656</v>
      </c>
      <c r="B69">
        <v>306779</v>
      </c>
      <c r="C69">
        <v>196457</v>
      </c>
      <c r="D69">
        <f t="shared" si="5"/>
        <v>110322</v>
      </c>
      <c r="E69">
        <v>14491</v>
      </c>
      <c r="F69">
        <v>59995</v>
      </c>
      <c r="G69">
        <v>49320</v>
      </c>
      <c r="H69">
        <v>2200</v>
      </c>
      <c r="I69">
        <f t="shared" si="6"/>
        <v>126006</v>
      </c>
      <c r="J69">
        <v>104781</v>
      </c>
      <c r="K69">
        <v>89089</v>
      </c>
      <c r="L69">
        <f t="shared" si="7"/>
        <v>15692</v>
      </c>
      <c r="M69">
        <f t="shared" si="3"/>
        <v>126014</v>
      </c>
      <c r="N69">
        <f t="shared" si="4"/>
        <v>-8</v>
      </c>
      <c r="O69">
        <v>11191</v>
      </c>
      <c r="S69" s="3">
        <v>1000</v>
      </c>
      <c r="T69" s="3"/>
      <c r="U69" s="3">
        <v>2300</v>
      </c>
    </row>
    <row r="70" spans="1:23" x14ac:dyDescent="0.25">
      <c r="A70" s="2">
        <v>46022</v>
      </c>
      <c r="B70">
        <v>491391</v>
      </c>
      <c r="C70">
        <v>306779</v>
      </c>
      <c r="D70">
        <f t="shared" si="5"/>
        <v>184612</v>
      </c>
      <c r="E70">
        <v>11921</v>
      </c>
      <c r="F70">
        <v>57599</v>
      </c>
      <c r="G70">
        <v>94940</v>
      </c>
      <c r="H70">
        <v>25800</v>
      </c>
      <c r="I70">
        <f t="shared" si="6"/>
        <v>190260</v>
      </c>
      <c r="J70">
        <v>110431</v>
      </c>
      <c r="K70">
        <v>104781</v>
      </c>
      <c r="L70">
        <f t="shared" si="7"/>
        <v>5650</v>
      </c>
      <c r="M70">
        <f t="shared" ref="M70:M103" si="8">D70+L70</f>
        <v>190262</v>
      </c>
      <c r="N70">
        <f t="shared" si="4"/>
        <v>-2</v>
      </c>
    </row>
    <row r="71" spans="1:23" x14ac:dyDescent="0.25">
      <c r="A71" s="2" t="s">
        <v>0</v>
      </c>
      <c r="B71" t="s">
        <v>5</v>
      </c>
      <c r="C71" t="s">
        <v>6</v>
      </c>
      <c r="D71" t="s">
        <v>16</v>
      </c>
      <c r="E71" t="s">
        <v>8</v>
      </c>
      <c r="F71" t="s">
        <v>9</v>
      </c>
      <c r="G71" t="s">
        <v>10</v>
      </c>
      <c r="H71" t="s">
        <v>17</v>
      </c>
      <c r="I71" t="s">
        <v>12</v>
      </c>
      <c r="J71" t="s">
        <v>18</v>
      </c>
      <c r="K71" t="s">
        <v>19</v>
      </c>
      <c r="L71" t="s">
        <v>16</v>
      </c>
      <c r="M71" t="s">
        <v>2</v>
      </c>
      <c r="O71" t="s">
        <v>20</v>
      </c>
      <c r="P71" t="s">
        <v>21</v>
      </c>
      <c r="Q71" t="s">
        <v>22</v>
      </c>
      <c r="R71" t="s">
        <v>23</v>
      </c>
      <c r="S71" t="s">
        <v>24</v>
      </c>
      <c r="T71" t="s">
        <v>25</v>
      </c>
      <c r="U71" t="s">
        <v>26</v>
      </c>
      <c r="V71" t="s">
        <v>27</v>
      </c>
      <c r="W71" t="s">
        <v>28</v>
      </c>
    </row>
    <row r="72" spans="1:23" x14ac:dyDescent="0.25">
      <c r="A72" s="1">
        <v>45658</v>
      </c>
      <c r="B72">
        <v>566776</v>
      </c>
      <c r="C72">
        <v>491391</v>
      </c>
      <c r="D72">
        <f t="shared" si="5"/>
        <v>75385</v>
      </c>
      <c r="E72">
        <v>0</v>
      </c>
      <c r="F72">
        <v>27910</v>
      </c>
      <c r="G72">
        <v>48775</v>
      </c>
      <c r="H72">
        <v>800</v>
      </c>
      <c r="I72">
        <f t="shared" si="6"/>
        <v>77485</v>
      </c>
      <c r="J72">
        <v>112531</v>
      </c>
      <c r="K72">
        <v>110431</v>
      </c>
      <c r="L72">
        <f t="shared" si="7"/>
        <v>2100</v>
      </c>
      <c r="M72">
        <f t="shared" si="8"/>
        <v>77485</v>
      </c>
      <c r="N72">
        <f t="shared" si="4"/>
        <v>0</v>
      </c>
    </row>
    <row r="73" spans="1:23" x14ac:dyDescent="0.25">
      <c r="A73" s="1">
        <v>45659</v>
      </c>
      <c r="B73">
        <v>679655</v>
      </c>
      <c r="C73">
        <v>566776</v>
      </c>
      <c r="D73">
        <f t="shared" si="5"/>
        <v>112879</v>
      </c>
      <c r="E73">
        <v>5000</v>
      </c>
      <c r="F73">
        <v>63520</v>
      </c>
      <c r="G73">
        <v>57910</v>
      </c>
      <c r="H73">
        <v>800</v>
      </c>
      <c r="I73">
        <f t="shared" si="6"/>
        <v>127230</v>
      </c>
      <c r="J73">
        <v>126882</v>
      </c>
      <c r="K73">
        <v>112531</v>
      </c>
      <c r="L73">
        <f t="shared" si="7"/>
        <v>14351</v>
      </c>
      <c r="M73">
        <f t="shared" si="8"/>
        <v>127230</v>
      </c>
      <c r="N73">
        <f t="shared" si="4"/>
        <v>0</v>
      </c>
      <c r="R73" s="3">
        <v>3000</v>
      </c>
      <c r="U73" s="3">
        <v>2000</v>
      </c>
    </row>
    <row r="74" spans="1:23" x14ac:dyDescent="0.25">
      <c r="A74" s="1">
        <v>45660</v>
      </c>
      <c r="B74">
        <v>776306</v>
      </c>
      <c r="C74">
        <v>679655</v>
      </c>
      <c r="D74">
        <f t="shared" si="5"/>
        <v>96651</v>
      </c>
      <c r="E74">
        <v>8500</v>
      </c>
      <c r="F74">
        <v>42065</v>
      </c>
      <c r="G74">
        <v>63885</v>
      </c>
      <c r="H74">
        <v>800</v>
      </c>
      <c r="I74">
        <f t="shared" si="6"/>
        <v>115250</v>
      </c>
      <c r="J74">
        <v>145482</v>
      </c>
      <c r="K74">
        <v>126882</v>
      </c>
      <c r="L74">
        <f t="shared" si="7"/>
        <v>18600</v>
      </c>
      <c r="M74">
        <f t="shared" si="8"/>
        <v>115251</v>
      </c>
      <c r="N74">
        <f t="shared" si="4"/>
        <v>-1</v>
      </c>
      <c r="P74">
        <v>5000</v>
      </c>
      <c r="Q74" s="3">
        <v>1000</v>
      </c>
      <c r="V74" s="3">
        <v>2500</v>
      </c>
    </row>
    <row r="75" spans="1:23" x14ac:dyDescent="0.25">
      <c r="A75" s="1">
        <v>45661</v>
      </c>
      <c r="B75">
        <v>880492</v>
      </c>
      <c r="C75">
        <v>776306</v>
      </c>
      <c r="D75">
        <f t="shared" si="5"/>
        <v>104186</v>
      </c>
      <c r="E75">
        <v>0</v>
      </c>
      <c r="F75">
        <v>53556</v>
      </c>
      <c r="G75">
        <v>56480</v>
      </c>
      <c r="H75">
        <v>800</v>
      </c>
      <c r="I75">
        <f t="shared" si="6"/>
        <v>110836</v>
      </c>
      <c r="J75">
        <v>152132</v>
      </c>
      <c r="K75">
        <v>145482</v>
      </c>
      <c r="L75">
        <f t="shared" si="7"/>
        <v>6650</v>
      </c>
      <c r="M75">
        <f t="shared" si="8"/>
        <v>110836</v>
      </c>
      <c r="N75">
        <f t="shared" si="4"/>
        <v>0</v>
      </c>
    </row>
    <row r="76" spans="1:23" x14ac:dyDescent="0.25">
      <c r="A76" s="1">
        <v>45662</v>
      </c>
      <c r="B76">
        <v>978792</v>
      </c>
      <c r="C76">
        <v>880492</v>
      </c>
      <c r="D76">
        <f t="shared" si="5"/>
        <v>98300</v>
      </c>
      <c r="E76">
        <v>0</v>
      </c>
      <c r="F76">
        <v>69290</v>
      </c>
      <c r="G76">
        <v>35410</v>
      </c>
      <c r="H76">
        <v>800</v>
      </c>
      <c r="I76">
        <f t="shared" si="6"/>
        <v>105500</v>
      </c>
      <c r="J76">
        <v>159332</v>
      </c>
      <c r="K76">
        <v>152132</v>
      </c>
      <c r="L76">
        <f t="shared" si="7"/>
        <v>7200</v>
      </c>
      <c r="M76">
        <f t="shared" si="8"/>
        <v>105500</v>
      </c>
      <c r="N76">
        <f t="shared" si="4"/>
        <v>0</v>
      </c>
    </row>
    <row r="77" spans="1:23" x14ac:dyDescent="0.25">
      <c r="A77" s="1">
        <v>45663</v>
      </c>
      <c r="B77">
        <v>1075942</v>
      </c>
      <c r="C77">
        <v>978792</v>
      </c>
      <c r="D77">
        <f t="shared" si="5"/>
        <v>97150</v>
      </c>
      <c r="E77">
        <v>0</v>
      </c>
      <c r="F77">
        <v>53800</v>
      </c>
      <c r="G77">
        <v>46500</v>
      </c>
      <c r="H77">
        <v>2200</v>
      </c>
      <c r="I77">
        <f t="shared" si="6"/>
        <v>102500</v>
      </c>
      <c r="J77">
        <v>164682</v>
      </c>
      <c r="K77">
        <v>159332</v>
      </c>
      <c r="L77">
        <f t="shared" si="7"/>
        <v>5350</v>
      </c>
      <c r="M77">
        <f t="shared" si="8"/>
        <v>102500</v>
      </c>
      <c r="N77">
        <f t="shared" si="4"/>
        <v>0</v>
      </c>
    </row>
    <row r="78" spans="1:23" x14ac:dyDescent="0.25">
      <c r="A78" s="1">
        <v>45664</v>
      </c>
      <c r="B78">
        <v>224324</v>
      </c>
      <c r="C78">
        <v>75942</v>
      </c>
      <c r="D78">
        <f t="shared" si="5"/>
        <v>148382</v>
      </c>
      <c r="E78">
        <v>3500</v>
      </c>
      <c r="F78">
        <v>53840</v>
      </c>
      <c r="G78">
        <v>102650</v>
      </c>
      <c r="H78">
        <v>800</v>
      </c>
      <c r="I78">
        <f t="shared" si="6"/>
        <v>160790</v>
      </c>
      <c r="J78">
        <v>177092</v>
      </c>
      <c r="K78">
        <v>164682</v>
      </c>
      <c r="L78">
        <f t="shared" si="7"/>
        <v>12410</v>
      </c>
      <c r="M78">
        <f t="shared" si="8"/>
        <v>160792</v>
      </c>
      <c r="N78">
        <f t="shared" si="4"/>
        <v>-2</v>
      </c>
      <c r="O78">
        <v>1500</v>
      </c>
      <c r="S78" s="3">
        <v>2000</v>
      </c>
    </row>
    <row r="79" spans="1:23" x14ac:dyDescent="0.25">
      <c r="A79" s="1">
        <v>45665</v>
      </c>
      <c r="B79">
        <v>302798</v>
      </c>
      <c r="C79">
        <v>224324</v>
      </c>
      <c r="D79">
        <f t="shared" si="5"/>
        <v>78474</v>
      </c>
      <c r="E79">
        <v>2200</v>
      </c>
      <c r="F79">
        <v>27010</v>
      </c>
      <c r="G79">
        <v>57315</v>
      </c>
      <c r="H79">
        <v>800</v>
      </c>
      <c r="I79">
        <f t="shared" si="6"/>
        <v>87325</v>
      </c>
      <c r="J79">
        <v>185942</v>
      </c>
      <c r="K79">
        <v>177092</v>
      </c>
    </row>
    <row r="80" spans="1:23" x14ac:dyDescent="0.25">
      <c r="A80" s="2">
        <v>45665</v>
      </c>
      <c r="B80">
        <v>302798</v>
      </c>
      <c r="C80">
        <v>224324</v>
      </c>
      <c r="D80">
        <f t="shared" si="5"/>
        <v>78474</v>
      </c>
      <c r="E80">
        <v>2200</v>
      </c>
      <c r="F80">
        <v>27010</v>
      </c>
      <c r="G80">
        <v>57315</v>
      </c>
      <c r="H80">
        <v>800</v>
      </c>
      <c r="I80">
        <f t="shared" si="6"/>
        <v>87325</v>
      </c>
      <c r="J80">
        <v>185942</v>
      </c>
      <c r="K80">
        <v>177092</v>
      </c>
      <c r="L80">
        <f t="shared" si="7"/>
        <v>8850</v>
      </c>
      <c r="M80">
        <f t="shared" si="8"/>
        <v>87324</v>
      </c>
      <c r="N80">
        <f t="shared" si="4"/>
        <v>1</v>
      </c>
      <c r="Q80" s="3">
        <v>2000</v>
      </c>
      <c r="W80" s="3">
        <v>200</v>
      </c>
    </row>
    <row r="81" spans="1:19" x14ac:dyDescent="0.25">
      <c r="A81" s="2">
        <v>45666</v>
      </c>
      <c r="B81">
        <v>360667</v>
      </c>
      <c r="C81">
        <v>302798</v>
      </c>
      <c r="D81">
        <f t="shared" si="5"/>
        <v>57869</v>
      </c>
      <c r="E81">
        <v>6200</v>
      </c>
      <c r="F81">
        <v>38015</v>
      </c>
      <c r="G81">
        <v>23755</v>
      </c>
      <c r="H81">
        <v>800</v>
      </c>
      <c r="I81">
        <f t="shared" si="6"/>
        <v>68770</v>
      </c>
      <c r="J81">
        <v>196842</v>
      </c>
      <c r="K81">
        <v>185942</v>
      </c>
      <c r="L81">
        <f t="shared" si="7"/>
        <v>10900</v>
      </c>
      <c r="M81">
        <f t="shared" si="8"/>
        <v>68769</v>
      </c>
      <c r="N81">
        <f t="shared" si="4"/>
        <v>1</v>
      </c>
    </row>
    <row r="82" spans="1:19" x14ac:dyDescent="0.25">
      <c r="A82" s="2">
        <v>45667</v>
      </c>
      <c r="B82">
        <v>436704</v>
      </c>
      <c r="C82">
        <v>360667</v>
      </c>
      <c r="D82">
        <f t="shared" si="5"/>
        <v>76037</v>
      </c>
      <c r="E82">
        <v>19906</v>
      </c>
      <c r="F82">
        <v>45740</v>
      </c>
      <c r="G82">
        <v>35995</v>
      </c>
      <c r="H82">
        <v>800</v>
      </c>
      <c r="I82">
        <f t="shared" si="6"/>
        <v>102441</v>
      </c>
      <c r="J82">
        <v>223249</v>
      </c>
      <c r="K82">
        <v>196842</v>
      </c>
      <c r="L82">
        <f t="shared" si="7"/>
        <v>26407</v>
      </c>
      <c r="M82">
        <f t="shared" si="8"/>
        <v>102444</v>
      </c>
      <c r="N82">
        <f t="shared" si="4"/>
        <v>-3</v>
      </c>
    </row>
    <row r="83" spans="1:19" x14ac:dyDescent="0.25">
      <c r="A83" s="2">
        <v>45668</v>
      </c>
      <c r="B83">
        <v>504540</v>
      </c>
      <c r="C83">
        <v>436704</v>
      </c>
      <c r="D83">
        <f t="shared" si="5"/>
        <v>67836</v>
      </c>
      <c r="E83">
        <v>0</v>
      </c>
      <c r="F83">
        <v>32890</v>
      </c>
      <c r="G83">
        <v>35050</v>
      </c>
      <c r="H83">
        <v>7100</v>
      </c>
      <c r="I83">
        <f t="shared" si="6"/>
        <v>75040</v>
      </c>
      <c r="J83">
        <v>230449</v>
      </c>
      <c r="K83">
        <v>223249</v>
      </c>
      <c r="L83">
        <f t="shared" si="7"/>
        <v>7200</v>
      </c>
      <c r="M83">
        <f t="shared" si="8"/>
        <v>75036</v>
      </c>
      <c r="N83">
        <f t="shared" si="4"/>
        <v>4</v>
      </c>
    </row>
    <row r="84" spans="1:19" x14ac:dyDescent="0.25">
      <c r="A84" s="2">
        <v>45669</v>
      </c>
      <c r="B84">
        <v>574795</v>
      </c>
      <c r="C84">
        <v>504540</v>
      </c>
      <c r="D84">
        <f t="shared" si="5"/>
        <v>70255</v>
      </c>
      <c r="E84">
        <v>13300</v>
      </c>
      <c r="F84">
        <v>24440</v>
      </c>
      <c r="G84">
        <v>43515</v>
      </c>
      <c r="H84">
        <v>2800</v>
      </c>
      <c r="I84">
        <f t="shared" si="6"/>
        <v>84055</v>
      </c>
      <c r="J84">
        <v>244252</v>
      </c>
      <c r="K84">
        <v>230449</v>
      </c>
      <c r="L84">
        <f t="shared" si="7"/>
        <v>13803</v>
      </c>
      <c r="M84">
        <f t="shared" si="8"/>
        <v>84058</v>
      </c>
      <c r="N84">
        <f t="shared" si="4"/>
        <v>-3</v>
      </c>
    </row>
    <row r="85" spans="1:19" x14ac:dyDescent="0.25">
      <c r="A85" s="2">
        <v>45670</v>
      </c>
      <c r="B85">
        <v>637730</v>
      </c>
      <c r="C85">
        <v>574795</v>
      </c>
      <c r="D85">
        <f t="shared" si="5"/>
        <v>62935</v>
      </c>
      <c r="E85">
        <v>10000</v>
      </c>
      <c r="F85">
        <v>29905</v>
      </c>
      <c r="G85">
        <v>37550</v>
      </c>
      <c r="H85">
        <v>2200</v>
      </c>
      <c r="I85">
        <f t="shared" si="6"/>
        <v>79655</v>
      </c>
      <c r="J85">
        <v>260972</v>
      </c>
      <c r="K85">
        <v>244252</v>
      </c>
      <c r="L85">
        <f t="shared" si="7"/>
        <v>16720</v>
      </c>
      <c r="M85">
        <f t="shared" si="8"/>
        <v>79655</v>
      </c>
      <c r="N85">
        <f t="shared" si="4"/>
        <v>0</v>
      </c>
      <c r="O85">
        <v>8000</v>
      </c>
      <c r="R85" s="3">
        <v>2000</v>
      </c>
    </row>
    <row r="86" spans="1:19" x14ac:dyDescent="0.25">
      <c r="A86" s="2">
        <v>45671</v>
      </c>
      <c r="B86">
        <v>782996</v>
      </c>
      <c r="C86">
        <v>637730</v>
      </c>
      <c r="D86">
        <f t="shared" si="5"/>
        <v>145266</v>
      </c>
      <c r="E86">
        <v>5000</v>
      </c>
      <c r="F86">
        <v>60646</v>
      </c>
      <c r="G86">
        <v>100525</v>
      </c>
      <c r="H86">
        <v>800</v>
      </c>
      <c r="I86">
        <f t="shared" si="6"/>
        <v>166971</v>
      </c>
      <c r="J86">
        <v>282678</v>
      </c>
      <c r="K86">
        <v>260972</v>
      </c>
      <c r="L86">
        <f t="shared" si="7"/>
        <v>21706</v>
      </c>
      <c r="M86">
        <f t="shared" si="8"/>
        <v>166972</v>
      </c>
      <c r="N86">
        <f t="shared" si="4"/>
        <v>-1</v>
      </c>
      <c r="O86">
        <v>3000</v>
      </c>
      <c r="S86" s="3">
        <v>2000</v>
      </c>
    </row>
    <row r="87" spans="1:19" x14ac:dyDescent="0.25">
      <c r="A87" s="2">
        <v>45672</v>
      </c>
      <c r="B87">
        <v>868186</v>
      </c>
      <c r="C87">
        <v>782996</v>
      </c>
      <c r="D87">
        <f t="shared" si="5"/>
        <v>85190</v>
      </c>
      <c r="E87">
        <v>0</v>
      </c>
      <c r="F87">
        <v>44546</v>
      </c>
      <c r="G87">
        <v>55395</v>
      </c>
      <c r="H87">
        <v>800</v>
      </c>
      <c r="I87">
        <f t="shared" si="6"/>
        <v>100741</v>
      </c>
      <c r="J87">
        <v>298228</v>
      </c>
      <c r="K87">
        <v>282678</v>
      </c>
      <c r="L87">
        <f t="shared" si="7"/>
        <v>15550</v>
      </c>
      <c r="M87">
        <f t="shared" si="8"/>
        <v>100740</v>
      </c>
      <c r="N87">
        <f t="shared" si="4"/>
        <v>1</v>
      </c>
    </row>
    <row r="88" spans="1:19" x14ac:dyDescent="0.25">
      <c r="A88" s="2">
        <v>45673</v>
      </c>
      <c r="B88">
        <v>918006</v>
      </c>
      <c r="C88">
        <v>868186</v>
      </c>
      <c r="D88">
        <f t="shared" si="5"/>
        <v>49820</v>
      </c>
      <c r="E88">
        <v>2500</v>
      </c>
      <c r="F88">
        <v>20140</v>
      </c>
      <c r="G88">
        <v>33080</v>
      </c>
      <c r="H88">
        <v>800</v>
      </c>
      <c r="I88">
        <f t="shared" si="6"/>
        <v>56520</v>
      </c>
      <c r="J88">
        <v>304928</v>
      </c>
      <c r="K88">
        <v>298228</v>
      </c>
      <c r="L88">
        <f t="shared" si="7"/>
        <v>6700</v>
      </c>
      <c r="M88">
        <f t="shared" si="8"/>
        <v>56520</v>
      </c>
      <c r="N88">
        <f t="shared" si="4"/>
        <v>0</v>
      </c>
    </row>
    <row r="89" spans="1:19" x14ac:dyDescent="0.25">
      <c r="A89" s="2">
        <v>45674</v>
      </c>
      <c r="B89">
        <v>985549</v>
      </c>
      <c r="C89">
        <v>918006</v>
      </c>
      <c r="D89">
        <f t="shared" si="5"/>
        <v>67543</v>
      </c>
      <c r="E89">
        <v>9000</v>
      </c>
      <c r="F89">
        <v>38960</v>
      </c>
      <c r="G89">
        <v>53150</v>
      </c>
      <c r="H89">
        <v>800</v>
      </c>
      <c r="I89">
        <f t="shared" si="6"/>
        <v>101910</v>
      </c>
      <c r="J89">
        <v>339296</v>
      </c>
      <c r="K89">
        <v>304928</v>
      </c>
      <c r="L89">
        <f t="shared" si="7"/>
        <v>34368</v>
      </c>
      <c r="M89">
        <f t="shared" si="8"/>
        <v>101911</v>
      </c>
      <c r="N89">
        <f t="shared" si="4"/>
        <v>-1</v>
      </c>
      <c r="O89">
        <v>8000</v>
      </c>
      <c r="Q89">
        <v>1000</v>
      </c>
    </row>
    <row r="90" spans="1:19" x14ac:dyDescent="0.25">
      <c r="A90" s="2">
        <v>45675</v>
      </c>
      <c r="B90">
        <v>1072905</v>
      </c>
      <c r="C90">
        <v>985549</v>
      </c>
      <c r="D90">
        <f t="shared" si="5"/>
        <v>87356</v>
      </c>
      <c r="E90">
        <v>12356</v>
      </c>
      <c r="F90">
        <v>29480</v>
      </c>
      <c r="G90">
        <v>48955</v>
      </c>
      <c r="H90">
        <v>800</v>
      </c>
      <c r="I90">
        <f t="shared" si="6"/>
        <v>91591</v>
      </c>
      <c r="J90">
        <v>343533</v>
      </c>
      <c r="K90">
        <v>339296</v>
      </c>
      <c r="L90">
        <f t="shared" si="7"/>
        <v>4237</v>
      </c>
      <c r="M90">
        <f t="shared" si="8"/>
        <v>91593</v>
      </c>
      <c r="N90">
        <f t="shared" si="4"/>
        <v>-2</v>
      </c>
      <c r="O90">
        <v>11356</v>
      </c>
      <c r="R90" s="3">
        <v>1000</v>
      </c>
    </row>
    <row r="91" spans="1:19" x14ac:dyDescent="0.25">
      <c r="A91" s="2">
        <v>45676</v>
      </c>
      <c r="B91">
        <v>144409</v>
      </c>
      <c r="C91">
        <v>72905</v>
      </c>
      <c r="D91">
        <f t="shared" si="5"/>
        <v>71504</v>
      </c>
      <c r="E91">
        <v>15385</v>
      </c>
      <c r="F91">
        <v>39040</v>
      </c>
      <c r="G91">
        <v>40115</v>
      </c>
      <c r="H91">
        <v>1550</v>
      </c>
      <c r="I91">
        <f t="shared" si="6"/>
        <v>96090</v>
      </c>
      <c r="J91">
        <v>368119</v>
      </c>
      <c r="K91">
        <v>343533</v>
      </c>
      <c r="L91">
        <f t="shared" si="7"/>
        <v>24586</v>
      </c>
      <c r="M91">
        <f t="shared" si="8"/>
        <v>96090</v>
      </c>
      <c r="N91">
        <f t="shared" si="4"/>
        <v>0</v>
      </c>
      <c r="O91">
        <v>15385</v>
      </c>
    </row>
    <row r="92" spans="1:19" x14ac:dyDescent="0.25">
      <c r="A92" s="2">
        <v>45677</v>
      </c>
      <c r="B92">
        <v>201918</v>
      </c>
      <c r="C92">
        <v>144409</v>
      </c>
      <c r="D92">
        <f t="shared" si="5"/>
        <v>57509</v>
      </c>
      <c r="E92">
        <v>12000</v>
      </c>
      <c r="F92">
        <v>35245</v>
      </c>
      <c r="G92">
        <v>20815</v>
      </c>
      <c r="H92">
        <v>5200</v>
      </c>
      <c r="I92">
        <f t="shared" si="6"/>
        <v>73260</v>
      </c>
      <c r="J92">
        <v>383872</v>
      </c>
      <c r="K92">
        <v>368119</v>
      </c>
      <c r="L92">
        <f t="shared" si="7"/>
        <v>15753</v>
      </c>
      <c r="M92">
        <f t="shared" si="8"/>
        <v>73262</v>
      </c>
      <c r="N92">
        <f t="shared" si="4"/>
        <v>-2</v>
      </c>
      <c r="O92">
        <v>12000</v>
      </c>
    </row>
    <row r="93" spans="1:19" x14ac:dyDescent="0.25">
      <c r="A93" s="2">
        <v>45678</v>
      </c>
      <c r="B93">
        <v>343733</v>
      </c>
      <c r="C93">
        <v>201918</v>
      </c>
      <c r="D93">
        <f t="shared" si="5"/>
        <v>141815</v>
      </c>
      <c r="E93">
        <v>0</v>
      </c>
      <c r="F93">
        <v>31429</v>
      </c>
      <c r="G93">
        <v>96625</v>
      </c>
      <c r="H93">
        <v>22800</v>
      </c>
      <c r="I93">
        <f t="shared" si="6"/>
        <v>150854</v>
      </c>
      <c r="J93">
        <v>392910</v>
      </c>
      <c r="K93">
        <v>383872</v>
      </c>
      <c r="L93">
        <f t="shared" si="7"/>
        <v>9038</v>
      </c>
      <c r="M93">
        <f t="shared" si="8"/>
        <v>150853</v>
      </c>
      <c r="N93">
        <f t="shared" si="4"/>
        <v>1</v>
      </c>
    </row>
    <row r="94" spans="1:19" x14ac:dyDescent="0.25">
      <c r="A94" s="2">
        <v>45679</v>
      </c>
      <c r="B94">
        <v>399783</v>
      </c>
      <c r="C94">
        <v>343733</v>
      </c>
      <c r="D94">
        <f t="shared" si="5"/>
        <v>56050</v>
      </c>
      <c r="E94">
        <v>16000</v>
      </c>
      <c r="F94">
        <v>22560</v>
      </c>
      <c r="G94">
        <v>47085</v>
      </c>
      <c r="H94">
        <v>800</v>
      </c>
      <c r="I94">
        <f t="shared" si="6"/>
        <v>86445</v>
      </c>
      <c r="J94">
        <v>423307</v>
      </c>
      <c r="K94">
        <v>392910</v>
      </c>
      <c r="L94">
        <f t="shared" si="7"/>
        <v>30397</v>
      </c>
      <c r="M94">
        <f t="shared" si="8"/>
        <v>86447</v>
      </c>
      <c r="N94">
        <f t="shared" si="4"/>
        <v>-2</v>
      </c>
      <c r="O94">
        <v>14000</v>
      </c>
      <c r="R94" s="3">
        <v>2000</v>
      </c>
    </row>
    <row r="95" spans="1:19" x14ac:dyDescent="0.25">
      <c r="A95" s="2">
        <v>23</v>
      </c>
      <c r="B95">
        <v>444839</v>
      </c>
      <c r="C95">
        <v>399783</v>
      </c>
      <c r="D95">
        <f t="shared" si="5"/>
        <v>45056</v>
      </c>
      <c r="E95">
        <v>1500</v>
      </c>
      <c r="F95">
        <v>20040</v>
      </c>
      <c r="G95">
        <v>27665</v>
      </c>
      <c r="H95">
        <v>800</v>
      </c>
      <c r="I95">
        <f t="shared" si="6"/>
        <v>50005</v>
      </c>
      <c r="J95">
        <v>428257</v>
      </c>
      <c r="K95">
        <v>423307</v>
      </c>
      <c r="L95">
        <f t="shared" si="7"/>
        <v>4950</v>
      </c>
      <c r="M95">
        <f t="shared" si="8"/>
        <v>50006</v>
      </c>
      <c r="N95">
        <f t="shared" si="4"/>
        <v>-1</v>
      </c>
      <c r="O95">
        <v>1500</v>
      </c>
    </row>
    <row r="96" spans="1:19" x14ac:dyDescent="0.25">
      <c r="A96" s="2">
        <v>45681</v>
      </c>
      <c r="B96">
        <v>510106</v>
      </c>
      <c r="C96">
        <v>444839</v>
      </c>
      <c r="D96">
        <f t="shared" si="5"/>
        <v>65267</v>
      </c>
      <c r="E96">
        <v>8800</v>
      </c>
      <c r="F96">
        <v>28385</v>
      </c>
      <c r="G96">
        <v>44580</v>
      </c>
      <c r="H96">
        <v>800</v>
      </c>
      <c r="I96">
        <f t="shared" si="6"/>
        <v>82565</v>
      </c>
      <c r="J96">
        <v>445557</v>
      </c>
      <c r="K96">
        <v>428257</v>
      </c>
      <c r="L96">
        <f t="shared" si="7"/>
        <v>17300</v>
      </c>
      <c r="M96">
        <f t="shared" si="8"/>
        <v>82567</v>
      </c>
      <c r="N96">
        <f t="shared" si="4"/>
        <v>-2</v>
      </c>
      <c r="O96">
        <v>2500</v>
      </c>
      <c r="Q96" s="3">
        <v>6300</v>
      </c>
    </row>
    <row r="97" spans="1:24" x14ac:dyDescent="0.25">
      <c r="A97" s="2">
        <v>45682</v>
      </c>
      <c r="B97">
        <v>596347</v>
      </c>
      <c r="C97">
        <v>510106</v>
      </c>
      <c r="D97">
        <f t="shared" si="5"/>
        <v>86241</v>
      </c>
      <c r="E97">
        <v>4200</v>
      </c>
      <c r="F97">
        <v>54661</v>
      </c>
      <c r="G97">
        <v>43580</v>
      </c>
      <c r="H97">
        <v>800</v>
      </c>
      <c r="I97">
        <f t="shared" si="6"/>
        <v>103241</v>
      </c>
      <c r="J97">
        <v>462557</v>
      </c>
      <c r="K97">
        <v>445557</v>
      </c>
      <c r="L97">
        <f t="shared" si="7"/>
        <v>17000</v>
      </c>
      <c r="M97">
        <f t="shared" si="8"/>
        <v>103241</v>
      </c>
      <c r="N97">
        <f t="shared" si="4"/>
        <v>0</v>
      </c>
      <c r="P97">
        <v>2000</v>
      </c>
      <c r="R97" s="3">
        <v>2000</v>
      </c>
      <c r="U97" s="3">
        <v>200</v>
      </c>
    </row>
    <row r="98" spans="1:24" x14ac:dyDescent="0.25">
      <c r="A98" s="2">
        <v>45683</v>
      </c>
      <c r="B98">
        <v>669077</v>
      </c>
      <c r="C98">
        <v>596347</v>
      </c>
      <c r="D98">
        <f t="shared" si="5"/>
        <v>72730</v>
      </c>
      <c r="E98">
        <v>0</v>
      </c>
      <c r="F98">
        <v>30850</v>
      </c>
      <c r="G98">
        <v>48200</v>
      </c>
      <c r="H98">
        <v>800</v>
      </c>
      <c r="I98">
        <f t="shared" si="6"/>
        <v>79850</v>
      </c>
      <c r="J98">
        <v>469677</v>
      </c>
      <c r="K98">
        <v>462557</v>
      </c>
      <c r="L98">
        <f t="shared" si="7"/>
        <v>7120</v>
      </c>
      <c r="M98">
        <f t="shared" si="8"/>
        <v>79850</v>
      </c>
      <c r="N98">
        <f t="shared" si="4"/>
        <v>0</v>
      </c>
      <c r="X98" t="s">
        <v>30</v>
      </c>
    </row>
    <row r="99" spans="1:24" x14ac:dyDescent="0.25">
      <c r="A99" s="2">
        <v>45684</v>
      </c>
      <c r="B99">
        <v>764146</v>
      </c>
      <c r="C99">
        <v>669077</v>
      </c>
      <c r="D99">
        <f t="shared" si="5"/>
        <v>95069</v>
      </c>
      <c r="E99">
        <v>3400</v>
      </c>
      <c r="F99">
        <v>57680</v>
      </c>
      <c r="G99">
        <v>46895</v>
      </c>
      <c r="H99">
        <v>2200</v>
      </c>
      <c r="I99">
        <f t="shared" si="6"/>
        <v>110175</v>
      </c>
      <c r="J99">
        <v>484783</v>
      </c>
      <c r="K99">
        <v>469677</v>
      </c>
      <c r="L99">
        <f t="shared" si="7"/>
        <v>15106</v>
      </c>
      <c r="M99">
        <f t="shared" si="8"/>
        <v>110175</v>
      </c>
      <c r="N99">
        <f t="shared" si="4"/>
        <v>0</v>
      </c>
      <c r="P99">
        <v>3000</v>
      </c>
      <c r="X99" s="3">
        <v>400</v>
      </c>
    </row>
    <row r="100" spans="1:24" x14ac:dyDescent="0.25">
      <c r="A100" s="2">
        <v>45685</v>
      </c>
      <c r="B100">
        <v>873489</v>
      </c>
      <c r="C100">
        <v>764146</v>
      </c>
      <c r="D100">
        <f t="shared" si="5"/>
        <v>109343</v>
      </c>
      <c r="E100">
        <v>10600</v>
      </c>
      <c r="F100">
        <v>30950</v>
      </c>
      <c r="G100">
        <v>81090</v>
      </c>
      <c r="H100">
        <v>800</v>
      </c>
      <c r="I100">
        <f t="shared" si="6"/>
        <v>123440</v>
      </c>
      <c r="J100">
        <v>498884</v>
      </c>
      <c r="K100">
        <v>484783</v>
      </c>
      <c r="L100">
        <f t="shared" si="7"/>
        <v>14101</v>
      </c>
      <c r="M100">
        <f t="shared" si="8"/>
        <v>123444</v>
      </c>
      <c r="N100">
        <f t="shared" si="4"/>
        <v>-4</v>
      </c>
      <c r="O100">
        <v>7500</v>
      </c>
      <c r="P100">
        <v>3000</v>
      </c>
      <c r="Q100" s="3">
        <v>100</v>
      </c>
      <c r="X100" t="s">
        <v>31</v>
      </c>
    </row>
    <row r="101" spans="1:24" x14ac:dyDescent="0.25">
      <c r="A101" s="2">
        <v>45686</v>
      </c>
      <c r="B101">
        <v>928847</v>
      </c>
      <c r="C101">
        <v>873489</v>
      </c>
      <c r="D101">
        <f t="shared" si="5"/>
        <v>55358</v>
      </c>
      <c r="E101">
        <v>19048</v>
      </c>
      <c r="F101">
        <v>24100</v>
      </c>
      <c r="G101">
        <v>48050</v>
      </c>
      <c r="H101">
        <v>800</v>
      </c>
      <c r="I101">
        <f t="shared" si="6"/>
        <v>91998</v>
      </c>
      <c r="J101">
        <v>535526</v>
      </c>
      <c r="K101">
        <v>498884</v>
      </c>
      <c r="L101">
        <f t="shared" si="7"/>
        <v>36642</v>
      </c>
      <c r="M101">
        <f t="shared" si="8"/>
        <v>92000</v>
      </c>
      <c r="N101">
        <f t="shared" si="4"/>
        <v>-2</v>
      </c>
      <c r="R101" s="3">
        <v>2000</v>
      </c>
      <c r="S101" s="3">
        <v>2000</v>
      </c>
    </row>
    <row r="102" spans="1:24" x14ac:dyDescent="0.25">
      <c r="A102" s="2">
        <v>45687</v>
      </c>
      <c r="B102">
        <v>973587</v>
      </c>
      <c r="C102">
        <v>928847</v>
      </c>
      <c r="D102">
        <f t="shared" si="5"/>
        <v>44740</v>
      </c>
      <c r="E102">
        <v>6691</v>
      </c>
      <c r="F102">
        <v>37660</v>
      </c>
      <c r="G102">
        <v>20280</v>
      </c>
      <c r="H102">
        <v>800</v>
      </c>
      <c r="I102">
        <f t="shared" si="6"/>
        <v>65431</v>
      </c>
      <c r="J102">
        <v>556217</v>
      </c>
      <c r="K102">
        <v>535526</v>
      </c>
      <c r="L102">
        <f t="shared" si="7"/>
        <v>20691</v>
      </c>
      <c r="M102">
        <f t="shared" si="8"/>
        <v>65431</v>
      </c>
      <c r="N102">
        <f t="shared" si="4"/>
        <v>0</v>
      </c>
      <c r="P102">
        <v>3000</v>
      </c>
      <c r="U102" s="3">
        <v>2000</v>
      </c>
    </row>
    <row r="103" spans="1:24" x14ac:dyDescent="0.25">
      <c r="A103" s="2">
        <v>45688</v>
      </c>
      <c r="B103">
        <v>1052440</v>
      </c>
      <c r="C103">
        <v>973587</v>
      </c>
      <c r="D103">
        <f t="shared" si="5"/>
        <v>78853</v>
      </c>
      <c r="E103">
        <v>16691</v>
      </c>
      <c r="F103">
        <v>45060</v>
      </c>
      <c r="G103">
        <v>35620</v>
      </c>
      <c r="H103">
        <v>800</v>
      </c>
      <c r="I103">
        <f t="shared" si="6"/>
        <v>98171</v>
      </c>
      <c r="J103">
        <v>575533</v>
      </c>
      <c r="K103">
        <v>556217</v>
      </c>
      <c r="L103">
        <f t="shared" si="7"/>
        <v>19316</v>
      </c>
      <c r="M103">
        <f t="shared" si="8"/>
        <v>98169</v>
      </c>
      <c r="N103">
        <f t="shared" si="4"/>
        <v>2</v>
      </c>
      <c r="O103">
        <v>12691</v>
      </c>
      <c r="Q103" s="3">
        <v>2000</v>
      </c>
      <c r="R103" s="3">
        <v>2000</v>
      </c>
    </row>
    <row r="104" spans="1:24" x14ac:dyDescent="0.25">
      <c r="A104" s="2">
        <v>45689</v>
      </c>
      <c r="B104" t="s">
        <v>5</v>
      </c>
      <c r="C104" t="s">
        <v>6</v>
      </c>
      <c r="D104" t="s">
        <v>16</v>
      </c>
      <c r="E104" t="s">
        <v>8</v>
      </c>
      <c r="F104" t="s">
        <v>9</v>
      </c>
      <c r="G104" t="s">
        <v>10</v>
      </c>
      <c r="H104" t="s">
        <v>17</v>
      </c>
      <c r="I104" t="s">
        <v>12</v>
      </c>
      <c r="J104" t="s">
        <v>18</v>
      </c>
      <c r="K104" t="s">
        <v>19</v>
      </c>
      <c r="L104" t="s">
        <v>16</v>
      </c>
      <c r="M104" t="s">
        <v>2</v>
      </c>
      <c r="O104" t="s">
        <v>20</v>
      </c>
      <c r="P104" t="s">
        <v>21</v>
      </c>
      <c r="Q104" t="s">
        <v>22</v>
      </c>
      <c r="R104" t="s">
        <v>23</v>
      </c>
      <c r="S104" t="s">
        <v>24</v>
      </c>
      <c r="T104" t="s">
        <v>26</v>
      </c>
      <c r="U104" t="s">
        <v>34</v>
      </c>
      <c r="V104" t="s">
        <v>32</v>
      </c>
      <c r="W104" t="s">
        <v>33</v>
      </c>
    </row>
    <row r="105" spans="1:24" x14ac:dyDescent="0.25">
      <c r="A105" s="2">
        <v>45689</v>
      </c>
      <c r="B105">
        <v>137600</v>
      </c>
      <c r="C105">
        <v>52440</v>
      </c>
      <c r="D105">
        <f>B105-C105</f>
        <v>85160</v>
      </c>
      <c r="E105">
        <v>5070</v>
      </c>
      <c r="F105">
        <v>47429</v>
      </c>
      <c r="G105">
        <v>42180</v>
      </c>
      <c r="H105">
        <v>800</v>
      </c>
      <c r="I105">
        <f>E105+F105+G105+H105</f>
        <v>95479</v>
      </c>
      <c r="J105">
        <v>585853</v>
      </c>
      <c r="K105">
        <v>575533</v>
      </c>
      <c r="L105">
        <f>J105-K105</f>
        <v>10320</v>
      </c>
      <c r="M105">
        <f>D105+L105</f>
        <v>95480</v>
      </c>
      <c r="N105">
        <f>I105-M105</f>
        <v>-1</v>
      </c>
      <c r="O105">
        <v>4000</v>
      </c>
      <c r="T105">
        <v>1070</v>
      </c>
    </row>
    <row r="106" spans="1:24" x14ac:dyDescent="0.25">
      <c r="A106" s="2">
        <v>45690</v>
      </c>
      <c r="B106">
        <v>226046</v>
      </c>
      <c r="C106">
        <v>137600</v>
      </c>
      <c r="D106">
        <f t="shared" ref="D106:D169" si="9">B106-C106</f>
        <v>88446</v>
      </c>
      <c r="E106">
        <v>1500</v>
      </c>
      <c r="F106">
        <v>33876</v>
      </c>
      <c r="G106">
        <v>60500</v>
      </c>
      <c r="H106">
        <v>800</v>
      </c>
      <c r="I106">
        <f t="shared" ref="I106:I169" si="10">E106+F106+G106+H106</f>
        <v>96676</v>
      </c>
      <c r="J106">
        <v>594083</v>
      </c>
      <c r="K106">
        <v>585853</v>
      </c>
      <c r="L106">
        <f t="shared" ref="L106:L169" si="11">J106-K106</f>
        <v>8230</v>
      </c>
      <c r="M106">
        <f>D106+L106</f>
        <v>96676</v>
      </c>
      <c r="N106">
        <f>I106-M106</f>
        <v>0</v>
      </c>
      <c r="O106">
        <v>1500</v>
      </c>
    </row>
    <row r="107" spans="1:24" x14ac:dyDescent="0.25">
      <c r="A107" s="2">
        <v>45691</v>
      </c>
      <c r="B107">
        <v>309676</v>
      </c>
      <c r="C107">
        <v>226046</v>
      </c>
      <c r="D107">
        <f t="shared" si="9"/>
        <v>83630</v>
      </c>
      <c r="E107">
        <v>37152</v>
      </c>
      <c r="F107">
        <v>43700</v>
      </c>
      <c r="G107">
        <v>41630</v>
      </c>
      <c r="H107">
        <v>2200</v>
      </c>
      <c r="I107">
        <f t="shared" si="10"/>
        <v>124682</v>
      </c>
      <c r="J107">
        <v>635136</v>
      </c>
      <c r="K107">
        <v>594083</v>
      </c>
      <c r="L107">
        <f t="shared" si="11"/>
        <v>41053</v>
      </c>
      <c r="M107">
        <f t="shared" ref="M107:M170" si="12">D107+L107</f>
        <v>124683</v>
      </c>
      <c r="N107">
        <f t="shared" ref="N107:N170" si="13">I107-M107</f>
        <v>-1</v>
      </c>
      <c r="O107">
        <v>3000</v>
      </c>
      <c r="S107" s="3">
        <v>33652</v>
      </c>
      <c r="V107" s="3">
        <v>500</v>
      </c>
    </row>
    <row r="108" spans="1:24" x14ac:dyDescent="0.25">
      <c r="A108" s="2">
        <v>45692</v>
      </c>
      <c r="B108">
        <v>432267</v>
      </c>
      <c r="C108">
        <v>309676</v>
      </c>
      <c r="D108">
        <f t="shared" si="9"/>
        <v>122591</v>
      </c>
      <c r="E108">
        <v>3000</v>
      </c>
      <c r="F108">
        <v>33530</v>
      </c>
      <c r="G108">
        <v>104235</v>
      </c>
      <c r="H108">
        <v>800</v>
      </c>
      <c r="I108">
        <f t="shared" si="10"/>
        <v>141565</v>
      </c>
      <c r="J108">
        <v>654110</v>
      </c>
      <c r="K108">
        <v>635136</v>
      </c>
      <c r="L108">
        <f t="shared" si="11"/>
        <v>18974</v>
      </c>
      <c r="M108">
        <f t="shared" si="12"/>
        <v>141565</v>
      </c>
      <c r="N108">
        <f t="shared" si="13"/>
        <v>0</v>
      </c>
      <c r="O108">
        <v>2500</v>
      </c>
      <c r="W108" s="3">
        <v>500</v>
      </c>
    </row>
    <row r="109" spans="1:24" x14ac:dyDescent="0.25">
      <c r="A109" s="2">
        <v>45693</v>
      </c>
      <c r="B109">
        <v>494169</v>
      </c>
      <c r="C109">
        <v>432267</v>
      </c>
      <c r="D109">
        <f t="shared" si="9"/>
        <v>61902</v>
      </c>
      <c r="E109">
        <v>0</v>
      </c>
      <c r="F109">
        <v>20630</v>
      </c>
      <c r="G109">
        <v>46710</v>
      </c>
      <c r="H109">
        <v>800</v>
      </c>
      <c r="I109">
        <f t="shared" si="10"/>
        <v>68140</v>
      </c>
      <c r="J109">
        <v>660350</v>
      </c>
      <c r="K109">
        <v>654110</v>
      </c>
      <c r="L109">
        <f t="shared" si="11"/>
        <v>6240</v>
      </c>
      <c r="M109">
        <f t="shared" si="12"/>
        <v>68142</v>
      </c>
      <c r="N109">
        <f t="shared" si="13"/>
        <v>-2</v>
      </c>
    </row>
    <row r="110" spans="1:24" x14ac:dyDescent="0.25">
      <c r="A110" s="2">
        <v>45694</v>
      </c>
      <c r="B110">
        <v>549194</v>
      </c>
      <c r="C110">
        <v>494169</v>
      </c>
      <c r="D110">
        <f t="shared" si="9"/>
        <v>55025</v>
      </c>
      <c r="E110">
        <v>4500</v>
      </c>
      <c r="F110">
        <v>21810</v>
      </c>
      <c r="G110">
        <v>39345</v>
      </c>
      <c r="H110">
        <v>800</v>
      </c>
      <c r="I110">
        <f t="shared" si="10"/>
        <v>66455</v>
      </c>
      <c r="J110">
        <v>671780</v>
      </c>
      <c r="K110">
        <v>660350</v>
      </c>
      <c r="L110">
        <f t="shared" si="11"/>
        <v>11430</v>
      </c>
      <c r="M110">
        <f t="shared" si="12"/>
        <v>66455</v>
      </c>
      <c r="N110">
        <f t="shared" si="13"/>
        <v>0</v>
      </c>
      <c r="O110">
        <v>3000</v>
      </c>
      <c r="R110" s="3">
        <v>1500</v>
      </c>
    </row>
    <row r="111" spans="1:24" x14ac:dyDescent="0.25">
      <c r="A111" s="2">
        <v>45695</v>
      </c>
      <c r="B111">
        <v>612744</v>
      </c>
      <c r="C111">
        <v>549194</v>
      </c>
      <c r="D111">
        <f t="shared" si="9"/>
        <v>63550</v>
      </c>
      <c r="E111">
        <v>1500</v>
      </c>
      <c r="F111">
        <v>23060</v>
      </c>
      <c r="G111">
        <v>35000</v>
      </c>
      <c r="H111">
        <v>26300</v>
      </c>
      <c r="I111">
        <f t="shared" si="10"/>
        <v>85860</v>
      </c>
      <c r="J111">
        <v>694091</v>
      </c>
      <c r="K111">
        <v>671780</v>
      </c>
      <c r="L111">
        <f t="shared" si="11"/>
        <v>22311</v>
      </c>
      <c r="M111">
        <f t="shared" si="12"/>
        <v>85861</v>
      </c>
      <c r="N111">
        <f t="shared" si="13"/>
        <v>-1</v>
      </c>
      <c r="O111">
        <v>1500</v>
      </c>
    </row>
    <row r="112" spans="1:24" x14ac:dyDescent="0.25">
      <c r="A112" s="2">
        <v>45696</v>
      </c>
      <c r="B112">
        <v>687000</v>
      </c>
      <c r="C112">
        <v>612744</v>
      </c>
      <c r="D112">
        <f t="shared" si="9"/>
        <v>74256</v>
      </c>
      <c r="E112">
        <v>20540</v>
      </c>
      <c r="F112">
        <v>32290</v>
      </c>
      <c r="G112">
        <v>43130</v>
      </c>
      <c r="H112">
        <v>800</v>
      </c>
      <c r="I112">
        <f t="shared" si="10"/>
        <v>96760</v>
      </c>
      <c r="J112">
        <v>716593</v>
      </c>
      <c r="K112">
        <v>694091</v>
      </c>
      <c r="L112">
        <f t="shared" si="11"/>
        <v>22502</v>
      </c>
      <c r="M112">
        <f t="shared" si="12"/>
        <v>96758</v>
      </c>
      <c r="N112">
        <f t="shared" si="13"/>
        <v>2</v>
      </c>
      <c r="O112">
        <v>20540</v>
      </c>
    </row>
    <row r="113" spans="1:21" x14ac:dyDescent="0.25">
      <c r="A113" s="2">
        <v>45697</v>
      </c>
      <c r="B113">
        <v>757256</v>
      </c>
      <c r="C113">
        <v>687000</v>
      </c>
      <c r="D113">
        <f t="shared" si="9"/>
        <v>70256</v>
      </c>
      <c r="E113">
        <v>1000</v>
      </c>
      <c r="F113">
        <v>35400</v>
      </c>
      <c r="G113">
        <v>39245</v>
      </c>
      <c r="H113">
        <v>800</v>
      </c>
      <c r="I113">
        <f t="shared" si="10"/>
        <v>76445</v>
      </c>
      <c r="J113">
        <v>722784</v>
      </c>
      <c r="K113">
        <v>716593</v>
      </c>
      <c r="L113">
        <f t="shared" si="11"/>
        <v>6191</v>
      </c>
      <c r="M113">
        <f t="shared" si="12"/>
        <v>76447</v>
      </c>
      <c r="N113">
        <f t="shared" si="13"/>
        <v>-2</v>
      </c>
      <c r="R113" s="3">
        <v>1000</v>
      </c>
    </row>
    <row r="114" spans="1:21" x14ac:dyDescent="0.25">
      <c r="A114" s="2">
        <v>45698</v>
      </c>
      <c r="B114">
        <v>830986</v>
      </c>
      <c r="C114">
        <v>757256</v>
      </c>
      <c r="D114">
        <f t="shared" si="9"/>
        <v>73730</v>
      </c>
      <c r="E114">
        <v>2000</v>
      </c>
      <c r="F114">
        <v>94565</v>
      </c>
      <c r="G114">
        <v>8610</v>
      </c>
      <c r="H114">
        <v>2200</v>
      </c>
      <c r="I114">
        <f t="shared" si="10"/>
        <v>107375</v>
      </c>
      <c r="J114">
        <v>756431</v>
      </c>
      <c r="K114">
        <v>722784</v>
      </c>
      <c r="L114">
        <f t="shared" si="11"/>
        <v>33647</v>
      </c>
      <c r="M114">
        <f t="shared" si="12"/>
        <v>107377</v>
      </c>
      <c r="N114">
        <f t="shared" si="13"/>
        <v>-2</v>
      </c>
      <c r="O114">
        <v>2000</v>
      </c>
    </row>
    <row r="115" spans="1:21" x14ac:dyDescent="0.25">
      <c r="A115" s="2">
        <v>45699</v>
      </c>
      <c r="B115">
        <v>982376</v>
      </c>
      <c r="C115">
        <v>830986</v>
      </c>
      <c r="D115">
        <f t="shared" si="9"/>
        <v>151390</v>
      </c>
      <c r="E115">
        <v>25602</v>
      </c>
      <c r="F115">
        <v>44055</v>
      </c>
      <c r="G115">
        <v>123455</v>
      </c>
      <c r="H115">
        <v>800</v>
      </c>
      <c r="I115">
        <f t="shared" si="10"/>
        <v>193912</v>
      </c>
      <c r="J115">
        <v>798953</v>
      </c>
      <c r="K115">
        <v>756431</v>
      </c>
      <c r="L115">
        <f t="shared" si="11"/>
        <v>42522</v>
      </c>
      <c r="M115">
        <f t="shared" si="12"/>
        <v>193912</v>
      </c>
      <c r="N115">
        <f t="shared" si="13"/>
        <v>0</v>
      </c>
      <c r="O115">
        <v>3500</v>
      </c>
      <c r="Q115" s="3">
        <v>2000</v>
      </c>
      <c r="S115">
        <v>20102</v>
      </c>
    </row>
    <row r="116" spans="1:21" x14ac:dyDescent="0.25">
      <c r="A116" s="2">
        <v>45700</v>
      </c>
      <c r="B116">
        <v>1035357</v>
      </c>
      <c r="C116">
        <v>982376</v>
      </c>
      <c r="D116">
        <f t="shared" si="9"/>
        <v>52981</v>
      </c>
      <c r="E116">
        <v>11000</v>
      </c>
      <c r="F116">
        <v>43220</v>
      </c>
      <c r="G116">
        <v>10760</v>
      </c>
      <c r="H116">
        <v>800</v>
      </c>
      <c r="I116">
        <f t="shared" si="10"/>
        <v>65780</v>
      </c>
      <c r="J116">
        <v>811953</v>
      </c>
      <c r="K116">
        <v>798953</v>
      </c>
      <c r="L116">
        <f t="shared" si="11"/>
        <v>13000</v>
      </c>
      <c r="M116">
        <f t="shared" si="12"/>
        <v>65981</v>
      </c>
      <c r="N116">
        <f t="shared" si="13"/>
        <v>-201</v>
      </c>
    </row>
    <row r="117" spans="1:21" x14ac:dyDescent="0.25">
      <c r="A117" s="2">
        <v>45701</v>
      </c>
      <c r="B117">
        <v>93037</v>
      </c>
      <c r="C117">
        <v>35357</v>
      </c>
      <c r="D117">
        <f t="shared" si="9"/>
        <v>57680</v>
      </c>
      <c r="E117">
        <v>20000</v>
      </c>
      <c r="F117">
        <v>28240</v>
      </c>
      <c r="G117">
        <v>38370</v>
      </c>
      <c r="H117">
        <v>800</v>
      </c>
      <c r="I117">
        <f t="shared" si="10"/>
        <v>87410</v>
      </c>
      <c r="J117">
        <v>841684</v>
      </c>
      <c r="K117">
        <v>811953</v>
      </c>
      <c r="L117">
        <f t="shared" si="11"/>
        <v>29731</v>
      </c>
      <c r="M117">
        <f t="shared" si="12"/>
        <v>87411</v>
      </c>
      <c r="N117">
        <f t="shared" si="13"/>
        <v>-1</v>
      </c>
    </row>
    <row r="118" spans="1:21" x14ac:dyDescent="0.25">
      <c r="A118" s="2">
        <v>45702</v>
      </c>
      <c r="B118">
        <v>178467</v>
      </c>
      <c r="C118">
        <v>93037</v>
      </c>
      <c r="D118">
        <f t="shared" si="9"/>
        <v>85430</v>
      </c>
      <c r="E118">
        <v>5500</v>
      </c>
      <c r="F118">
        <v>36220</v>
      </c>
      <c r="G118">
        <v>74535</v>
      </c>
      <c r="H118">
        <v>1517</v>
      </c>
      <c r="I118">
        <f t="shared" si="10"/>
        <v>117772</v>
      </c>
      <c r="J118">
        <v>874025</v>
      </c>
      <c r="K118">
        <v>841684</v>
      </c>
      <c r="L118">
        <f t="shared" si="11"/>
        <v>32341</v>
      </c>
      <c r="M118">
        <f t="shared" si="12"/>
        <v>117771</v>
      </c>
      <c r="N118">
        <f t="shared" si="13"/>
        <v>1</v>
      </c>
    </row>
    <row r="119" spans="1:21" x14ac:dyDescent="0.25">
      <c r="D119">
        <f t="shared" si="9"/>
        <v>0</v>
      </c>
      <c r="I119">
        <f t="shared" si="10"/>
        <v>0</v>
      </c>
      <c r="L119">
        <f t="shared" si="11"/>
        <v>0</v>
      </c>
      <c r="M119">
        <f t="shared" si="12"/>
        <v>0</v>
      </c>
      <c r="N119">
        <f t="shared" si="13"/>
        <v>0</v>
      </c>
    </row>
    <row r="120" spans="1:21" x14ac:dyDescent="0.25">
      <c r="B120" t="s">
        <v>5</v>
      </c>
      <c r="C120" t="s">
        <v>6</v>
      </c>
      <c r="D120" t="s">
        <v>16</v>
      </c>
      <c r="E120" t="s">
        <v>8</v>
      </c>
      <c r="F120" t="s">
        <v>9</v>
      </c>
      <c r="G120" t="s">
        <v>10</v>
      </c>
      <c r="H120" t="s">
        <v>17</v>
      </c>
      <c r="I120" t="s">
        <v>12</v>
      </c>
      <c r="J120" t="s">
        <v>18</v>
      </c>
      <c r="K120" t="s">
        <v>19</v>
      </c>
      <c r="L120" t="s">
        <v>16</v>
      </c>
      <c r="M120" t="s">
        <v>2</v>
      </c>
      <c r="N120" t="e">
        <f t="shared" si="13"/>
        <v>#VALUE!</v>
      </c>
      <c r="O120" t="s">
        <v>20</v>
      </c>
      <c r="P120" t="s">
        <v>21</v>
      </c>
      <c r="Q120" t="s">
        <v>22</v>
      </c>
      <c r="R120" t="s">
        <v>23</v>
      </c>
      <c r="S120" t="s">
        <v>24</v>
      </c>
      <c r="T120" t="s">
        <v>26</v>
      </c>
    </row>
    <row r="121" spans="1:21" x14ac:dyDescent="0.25">
      <c r="A121" s="2">
        <v>45744</v>
      </c>
      <c r="B121">
        <v>439142</v>
      </c>
      <c r="D121">
        <f t="shared" si="9"/>
        <v>439142</v>
      </c>
      <c r="E121">
        <v>3000</v>
      </c>
      <c r="F121">
        <v>50084</v>
      </c>
      <c r="G121">
        <v>25780</v>
      </c>
      <c r="H121">
        <v>1696</v>
      </c>
      <c r="I121">
        <f t="shared" si="10"/>
        <v>80560</v>
      </c>
      <c r="J121">
        <v>687670</v>
      </c>
      <c r="L121">
        <f t="shared" si="11"/>
        <v>687670</v>
      </c>
      <c r="M121">
        <f t="shared" si="12"/>
        <v>1126812</v>
      </c>
      <c r="N121">
        <f t="shared" si="13"/>
        <v>-1046252</v>
      </c>
      <c r="R121">
        <v>1500</v>
      </c>
    </row>
    <row r="122" spans="1:21" x14ac:dyDescent="0.25">
      <c r="A122" s="2">
        <v>45762</v>
      </c>
      <c r="B122">
        <v>695740</v>
      </c>
      <c r="D122">
        <f t="shared" si="9"/>
        <v>695740</v>
      </c>
      <c r="E122">
        <v>4500</v>
      </c>
      <c r="F122">
        <v>28070</v>
      </c>
      <c r="H122">
        <v>22200</v>
      </c>
      <c r="I122">
        <f t="shared" si="10"/>
        <v>54770</v>
      </c>
      <c r="J122">
        <v>970610</v>
      </c>
      <c r="L122">
        <f t="shared" si="11"/>
        <v>970610</v>
      </c>
      <c r="M122">
        <f t="shared" si="12"/>
        <v>1666350</v>
      </c>
      <c r="N122">
        <f t="shared" si="13"/>
        <v>-1611580</v>
      </c>
      <c r="O122">
        <v>1500</v>
      </c>
      <c r="P122">
        <v>2000</v>
      </c>
      <c r="Q122" s="3">
        <v>1000</v>
      </c>
    </row>
    <row r="123" spans="1:21" x14ac:dyDescent="0.25">
      <c r="A123" s="2">
        <v>45763</v>
      </c>
      <c r="B123">
        <v>811500</v>
      </c>
      <c r="C123">
        <v>695740</v>
      </c>
      <c r="D123">
        <f t="shared" si="9"/>
        <v>115760</v>
      </c>
      <c r="E123">
        <v>3000</v>
      </c>
      <c r="F123">
        <v>72226</v>
      </c>
      <c r="G123">
        <v>51220</v>
      </c>
      <c r="H123">
        <v>800</v>
      </c>
      <c r="I123">
        <f t="shared" si="10"/>
        <v>127246</v>
      </c>
      <c r="J123">
        <v>982095</v>
      </c>
      <c r="K123">
        <v>970610</v>
      </c>
      <c r="L123">
        <f t="shared" si="11"/>
        <v>11485</v>
      </c>
      <c r="M123">
        <f t="shared" si="12"/>
        <v>127245</v>
      </c>
      <c r="N123">
        <f t="shared" si="13"/>
        <v>1</v>
      </c>
      <c r="O123">
        <v>3000</v>
      </c>
    </row>
    <row r="124" spans="1:21" x14ac:dyDescent="0.25">
      <c r="A124" s="2">
        <v>45764</v>
      </c>
      <c r="B124">
        <v>924307</v>
      </c>
      <c r="C124">
        <v>863825</v>
      </c>
      <c r="D124">
        <f t="shared" si="9"/>
        <v>60482</v>
      </c>
      <c r="E124">
        <v>4500</v>
      </c>
      <c r="F124">
        <v>48955</v>
      </c>
      <c r="G124">
        <v>49185</v>
      </c>
      <c r="H124">
        <v>800</v>
      </c>
      <c r="I124">
        <f t="shared" si="10"/>
        <v>103440</v>
      </c>
      <c r="J124">
        <v>1032454</v>
      </c>
      <c r="K124">
        <v>989495</v>
      </c>
      <c r="L124">
        <f t="shared" si="11"/>
        <v>42959</v>
      </c>
      <c r="M124">
        <f t="shared" si="12"/>
        <v>103441</v>
      </c>
      <c r="N124">
        <f t="shared" si="13"/>
        <v>-1</v>
      </c>
      <c r="O124">
        <v>1500</v>
      </c>
      <c r="P124">
        <v>3000</v>
      </c>
    </row>
    <row r="125" spans="1:21" x14ac:dyDescent="0.25">
      <c r="A125" s="2">
        <v>45765</v>
      </c>
      <c r="B125">
        <v>981372</v>
      </c>
      <c r="C125">
        <v>924307</v>
      </c>
      <c r="D125">
        <f t="shared" si="9"/>
        <v>57065</v>
      </c>
      <c r="E125">
        <v>5660</v>
      </c>
      <c r="F125">
        <v>55590</v>
      </c>
      <c r="G125">
        <v>53065</v>
      </c>
      <c r="H125">
        <v>800</v>
      </c>
      <c r="I125">
        <f t="shared" si="10"/>
        <v>115115</v>
      </c>
      <c r="J125">
        <v>90508</v>
      </c>
      <c r="K125">
        <v>32454</v>
      </c>
      <c r="L125">
        <f t="shared" si="11"/>
        <v>58054</v>
      </c>
      <c r="M125">
        <f t="shared" si="12"/>
        <v>115119</v>
      </c>
      <c r="N125">
        <f t="shared" si="13"/>
        <v>-4</v>
      </c>
      <c r="O125">
        <v>2660</v>
      </c>
      <c r="R125">
        <v>3000</v>
      </c>
    </row>
    <row r="126" spans="1:21" x14ac:dyDescent="0.25">
      <c r="A126" s="2">
        <v>45766</v>
      </c>
      <c r="B126">
        <v>1053555</v>
      </c>
      <c r="C126">
        <v>981372</v>
      </c>
      <c r="D126">
        <f t="shared" si="9"/>
        <v>72183</v>
      </c>
      <c r="E126">
        <v>14697</v>
      </c>
      <c r="F126">
        <v>60406</v>
      </c>
      <c r="G126">
        <v>69500</v>
      </c>
      <c r="H126">
        <v>800</v>
      </c>
      <c r="I126">
        <f t="shared" si="10"/>
        <v>145403</v>
      </c>
      <c r="J126">
        <v>163826</v>
      </c>
      <c r="K126">
        <v>90508</v>
      </c>
      <c r="L126">
        <f t="shared" si="11"/>
        <v>73318</v>
      </c>
      <c r="M126">
        <f t="shared" si="12"/>
        <v>145501</v>
      </c>
      <c r="N126">
        <f t="shared" si="13"/>
        <v>-98</v>
      </c>
      <c r="O126">
        <v>13697</v>
      </c>
      <c r="Q126" s="3">
        <v>1000</v>
      </c>
      <c r="U126" t="s">
        <v>36</v>
      </c>
    </row>
    <row r="127" spans="1:21" x14ac:dyDescent="0.25">
      <c r="A127" s="2">
        <v>45767</v>
      </c>
      <c r="B127">
        <v>106655</v>
      </c>
      <c r="C127">
        <v>53555</v>
      </c>
      <c r="D127">
        <f t="shared" si="9"/>
        <v>53100</v>
      </c>
      <c r="E127">
        <v>0</v>
      </c>
      <c r="F127">
        <v>37490</v>
      </c>
      <c r="G127">
        <v>43540</v>
      </c>
      <c r="H127">
        <v>800</v>
      </c>
      <c r="I127">
        <f t="shared" si="10"/>
        <v>81830</v>
      </c>
      <c r="J127">
        <v>192556</v>
      </c>
      <c r="K127">
        <v>163826</v>
      </c>
      <c r="L127">
        <f t="shared" si="11"/>
        <v>28730</v>
      </c>
      <c r="M127">
        <f t="shared" si="12"/>
        <v>81830</v>
      </c>
      <c r="N127">
        <f t="shared" si="13"/>
        <v>0</v>
      </c>
    </row>
    <row r="128" spans="1:21" x14ac:dyDescent="0.25">
      <c r="A128" s="2">
        <v>45768</v>
      </c>
      <c r="B128">
        <v>176104</v>
      </c>
      <c r="C128">
        <v>106655</v>
      </c>
      <c r="D128">
        <f t="shared" si="9"/>
        <v>69449</v>
      </c>
      <c r="E128">
        <v>14853</v>
      </c>
      <c r="F128">
        <v>74280</v>
      </c>
      <c r="G128">
        <v>37775</v>
      </c>
      <c r="H128">
        <v>2200</v>
      </c>
      <c r="I128">
        <f t="shared" si="10"/>
        <v>129108</v>
      </c>
      <c r="J128">
        <v>252218</v>
      </c>
      <c r="K128">
        <v>192556</v>
      </c>
      <c r="L128">
        <f t="shared" si="11"/>
        <v>59662</v>
      </c>
      <c r="M128">
        <f t="shared" si="12"/>
        <v>129111</v>
      </c>
      <c r="N128">
        <f t="shared" si="13"/>
        <v>-3</v>
      </c>
      <c r="O128" t="s">
        <v>35</v>
      </c>
      <c r="P128">
        <v>3000</v>
      </c>
      <c r="U128" s="3">
        <v>1000</v>
      </c>
    </row>
    <row r="129" spans="1:20" x14ac:dyDescent="0.25">
      <c r="A129" s="2">
        <v>45769</v>
      </c>
      <c r="B129">
        <v>307373</v>
      </c>
      <c r="C129">
        <v>176104</v>
      </c>
      <c r="D129">
        <f t="shared" si="9"/>
        <v>131269</v>
      </c>
      <c r="E129">
        <v>15492</v>
      </c>
      <c r="F129">
        <v>62670</v>
      </c>
      <c r="G129">
        <v>75670</v>
      </c>
      <c r="H129">
        <v>19200</v>
      </c>
      <c r="I129">
        <f t="shared" si="10"/>
        <v>173032</v>
      </c>
      <c r="J129">
        <v>293981</v>
      </c>
      <c r="K129">
        <v>252218</v>
      </c>
      <c r="L129">
        <f t="shared" si="11"/>
        <v>41763</v>
      </c>
      <c r="M129">
        <f t="shared" si="12"/>
        <v>173032</v>
      </c>
      <c r="N129">
        <f t="shared" si="13"/>
        <v>0</v>
      </c>
      <c r="O129">
        <v>13492</v>
      </c>
      <c r="T129" s="3">
        <v>2000</v>
      </c>
    </row>
    <row r="130" spans="1:20" x14ac:dyDescent="0.25">
      <c r="A130" s="2">
        <v>45770</v>
      </c>
      <c r="B130">
        <v>348763</v>
      </c>
      <c r="C130">
        <v>307373</v>
      </c>
      <c r="D130">
        <f t="shared" si="9"/>
        <v>41390</v>
      </c>
      <c r="E130">
        <v>0</v>
      </c>
      <c r="F130">
        <v>24450</v>
      </c>
      <c r="G130">
        <v>30940</v>
      </c>
      <c r="H130">
        <v>800</v>
      </c>
      <c r="I130">
        <f t="shared" si="10"/>
        <v>56190</v>
      </c>
      <c r="J130">
        <v>308781</v>
      </c>
      <c r="K130">
        <v>293981</v>
      </c>
      <c r="L130">
        <f t="shared" si="11"/>
        <v>14800</v>
      </c>
      <c r="M130">
        <f t="shared" si="12"/>
        <v>56190</v>
      </c>
      <c r="N130">
        <f t="shared" si="13"/>
        <v>0</v>
      </c>
    </row>
    <row r="131" spans="1:20" x14ac:dyDescent="0.25">
      <c r="A131" s="2">
        <v>45771</v>
      </c>
      <c r="B131">
        <v>396818</v>
      </c>
      <c r="C131">
        <v>348763</v>
      </c>
      <c r="D131">
        <f t="shared" si="9"/>
        <v>48055</v>
      </c>
      <c r="E131">
        <v>0</v>
      </c>
      <c r="F131">
        <v>28930</v>
      </c>
      <c r="G131">
        <v>23215</v>
      </c>
      <c r="H131">
        <v>800</v>
      </c>
      <c r="I131">
        <f t="shared" si="10"/>
        <v>52945</v>
      </c>
      <c r="J131">
        <v>313671</v>
      </c>
      <c r="K131">
        <v>308781</v>
      </c>
      <c r="L131">
        <f t="shared" si="11"/>
        <v>4890</v>
      </c>
      <c r="M131">
        <f t="shared" si="12"/>
        <v>52945</v>
      </c>
      <c r="N131">
        <f t="shared" si="13"/>
        <v>0</v>
      </c>
    </row>
    <row r="132" spans="1:20" x14ac:dyDescent="0.25">
      <c r="A132" s="2">
        <v>45772</v>
      </c>
      <c r="B132">
        <v>464308</v>
      </c>
      <c r="C132">
        <v>396818</v>
      </c>
      <c r="D132">
        <f t="shared" si="9"/>
        <v>67490</v>
      </c>
      <c r="E132">
        <v>4000</v>
      </c>
      <c r="F132">
        <v>44679</v>
      </c>
      <c r="G132">
        <v>52010</v>
      </c>
      <c r="H132">
        <v>800</v>
      </c>
      <c r="I132">
        <f t="shared" si="10"/>
        <v>101489</v>
      </c>
      <c r="J132">
        <v>347672</v>
      </c>
      <c r="K132">
        <v>313671</v>
      </c>
      <c r="L132">
        <f t="shared" si="11"/>
        <v>34001</v>
      </c>
      <c r="M132">
        <f t="shared" si="12"/>
        <v>101491</v>
      </c>
      <c r="N132">
        <f t="shared" si="13"/>
        <v>-2</v>
      </c>
    </row>
    <row r="133" spans="1:20" x14ac:dyDescent="0.25">
      <c r="A133" s="2">
        <v>45773</v>
      </c>
      <c r="B133">
        <v>558506</v>
      </c>
      <c r="C133">
        <v>464308</v>
      </c>
      <c r="D133">
        <f t="shared" si="9"/>
        <v>94198</v>
      </c>
      <c r="E133">
        <v>23140</v>
      </c>
      <c r="F133">
        <v>54149</v>
      </c>
      <c r="G133">
        <v>42885</v>
      </c>
      <c r="H133">
        <v>800</v>
      </c>
      <c r="I133">
        <f t="shared" si="10"/>
        <v>120974</v>
      </c>
      <c r="J133">
        <v>374451</v>
      </c>
      <c r="K133">
        <v>347672</v>
      </c>
      <c r="L133">
        <f t="shared" si="11"/>
        <v>26779</v>
      </c>
      <c r="M133">
        <f t="shared" si="12"/>
        <v>120977</v>
      </c>
      <c r="N133">
        <f t="shared" si="13"/>
        <v>-3</v>
      </c>
      <c r="O133">
        <v>22140</v>
      </c>
      <c r="R133">
        <v>1000</v>
      </c>
      <c r="S133" t="s">
        <v>37</v>
      </c>
    </row>
    <row r="134" spans="1:20" x14ac:dyDescent="0.25">
      <c r="A134" s="2">
        <v>45774</v>
      </c>
      <c r="B134">
        <v>620516</v>
      </c>
      <c r="C134">
        <v>558506</v>
      </c>
      <c r="D134">
        <f t="shared" si="9"/>
        <v>62010</v>
      </c>
      <c r="E134">
        <v>1000</v>
      </c>
      <c r="F134">
        <v>36980</v>
      </c>
      <c r="G134">
        <v>25390</v>
      </c>
      <c r="H134">
        <v>800</v>
      </c>
      <c r="I134">
        <f t="shared" si="10"/>
        <v>64170</v>
      </c>
      <c r="J134">
        <v>376610</v>
      </c>
      <c r="K134">
        <v>374451</v>
      </c>
      <c r="L134">
        <f t="shared" si="11"/>
        <v>2159</v>
      </c>
      <c r="M134">
        <f t="shared" si="12"/>
        <v>64169</v>
      </c>
      <c r="N134">
        <f t="shared" si="13"/>
        <v>1</v>
      </c>
      <c r="Q134">
        <v>100</v>
      </c>
    </row>
    <row r="135" spans="1:20" x14ac:dyDescent="0.25">
      <c r="A135" s="2">
        <v>45775</v>
      </c>
      <c r="B135">
        <v>685416</v>
      </c>
      <c r="C135">
        <v>620516</v>
      </c>
      <c r="D135">
        <f t="shared" si="9"/>
        <v>64900</v>
      </c>
      <c r="E135">
        <v>25866</v>
      </c>
      <c r="F135">
        <v>35380</v>
      </c>
      <c r="G135">
        <v>37550</v>
      </c>
      <c r="H135">
        <v>2200</v>
      </c>
      <c r="I135">
        <f t="shared" si="10"/>
        <v>100996</v>
      </c>
      <c r="J135">
        <v>412708</v>
      </c>
      <c r="K135">
        <v>376610</v>
      </c>
      <c r="L135">
        <f t="shared" si="11"/>
        <v>36098</v>
      </c>
      <c r="M135">
        <f t="shared" si="12"/>
        <v>100998</v>
      </c>
      <c r="N135">
        <f t="shared" si="13"/>
        <v>-2</v>
      </c>
      <c r="O135">
        <v>25866</v>
      </c>
    </row>
    <row r="136" spans="1:20" x14ac:dyDescent="0.25">
      <c r="A136" s="2">
        <v>45776</v>
      </c>
      <c r="B136">
        <v>827200</v>
      </c>
      <c r="C136">
        <v>685416</v>
      </c>
      <c r="D136">
        <f t="shared" si="9"/>
        <v>141784</v>
      </c>
      <c r="E136">
        <v>5000</v>
      </c>
      <c r="F136">
        <v>64790</v>
      </c>
      <c r="G136">
        <v>86215</v>
      </c>
      <c r="H136">
        <v>800</v>
      </c>
      <c r="I136">
        <f t="shared" si="10"/>
        <v>156805</v>
      </c>
      <c r="J136">
        <v>427738</v>
      </c>
      <c r="K136">
        <v>412708</v>
      </c>
      <c r="L136">
        <f t="shared" si="11"/>
        <v>15030</v>
      </c>
      <c r="M136">
        <f t="shared" si="12"/>
        <v>156814</v>
      </c>
      <c r="N136">
        <f t="shared" si="13"/>
        <v>-9</v>
      </c>
      <c r="O136">
        <v>3000</v>
      </c>
      <c r="Q136" s="3">
        <v>2000</v>
      </c>
    </row>
    <row r="137" spans="1:20" x14ac:dyDescent="0.25">
      <c r="A137" s="2">
        <v>45807</v>
      </c>
      <c r="B137">
        <v>887976</v>
      </c>
      <c r="C137">
        <v>827200</v>
      </c>
      <c r="D137">
        <f t="shared" si="9"/>
        <v>60776</v>
      </c>
      <c r="E137">
        <v>4983</v>
      </c>
      <c r="F137">
        <v>36839</v>
      </c>
      <c r="G137">
        <v>37585</v>
      </c>
      <c r="H137">
        <v>800</v>
      </c>
      <c r="I137">
        <f t="shared" si="10"/>
        <v>80207</v>
      </c>
      <c r="J137">
        <v>447171</v>
      </c>
      <c r="K137">
        <v>427738</v>
      </c>
      <c r="L137">
        <f t="shared" si="11"/>
        <v>19433</v>
      </c>
      <c r="M137">
        <f t="shared" si="12"/>
        <v>80209</v>
      </c>
      <c r="N137">
        <f t="shared" si="13"/>
        <v>-2</v>
      </c>
      <c r="O137">
        <v>4983</v>
      </c>
    </row>
    <row r="138" spans="1:20" x14ac:dyDescent="0.25">
      <c r="A138" s="2">
        <v>45778</v>
      </c>
      <c r="B138">
        <v>923492</v>
      </c>
      <c r="C138">
        <v>887976</v>
      </c>
      <c r="D138">
        <f t="shared" si="9"/>
        <v>35516</v>
      </c>
      <c r="E138">
        <v>0</v>
      </c>
      <c r="F138">
        <v>17572</v>
      </c>
      <c r="G138">
        <v>25005</v>
      </c>
      <c r="H138">
        <v>800</v>
      </c>
      <c r="I138">
        <f t="shared" si="10"/>
        <v>43377</v>
      </c>
      <c r="J138">
        <v>455032</v>
      </c>
      <c r="K138">
        <v>447171</v>
      </c>
      <c r="L138">
        <f t="shared" si="11"/>
        <v>7861</v>
      </c>
      <c r="M138">
        <f t="shared" si="12"/>
        <v>43377</v>
      </c>
      <c r="N138">
        <f t="shared" si="13"/>
        <v>0</v>
      </c>
    </row>
    <row r="139" spans="1:20" x14ac:dyDescent="0.25">
      <c r="A139" s="2">
        <v>45779</v>
      </c>
      <c r="B139">
        <v>967245</v>
      </c>
      <c r="C139">
        <v>923492</v>
      </c>
      <c r="D139">
        <f t="shared" si="9"/>
        <v>43753</v>
      </c>
      <c r="E139">
        <v>0</v>
      </c>
      <c r="F139">
        <v>30250</v>
      </c>
      <c r="G139">
        <v>26280</v>
      </c>
      <c r="H139">
        <v>800</v>
      </c>
      <c r="I139">
        <f t="shared" si="10"/>
        <v>57330</v>
      </c>
      <c r="J139">
        <v>468613</v>
      </c>
      <c r="K139">
        <v>455032</v>
      </c>
      <c r="L139">
        <f t="shared" si="11"/>
        <v>13581</v>
      </c>
      <c r="M139">
        <f t="shared" si="12"/>
        <v>57334</v>
      </c>
      <c r="N139">
        <f t="shared" si="13"/>
        <v>-4</v>
      </c>
    </row>
    <row r="140" spans="1:20" x14ac:dyDescent="0.25">
      <c r="A140" s="2">
        <v>45750</v>
      </c>
      <c r="B140">
        <v>1054081</v>
      </c>
      <c r="C140">
        <v>967245</v>
      </c>
      <c r="D140">
        <f t="shared" si="9"/>
        <v>86836</v>
      </c>
      <c r="E140">
        <v>12451</v>
      </c>
      <c r="F140">
        <v>48700</v>
      </c>
      <c r="G140">
        <v>31685</v>
      </c>
      <c r="H140">
        <v>800</v>
      </c>
      <c r="I140">
        <f t="shared" si="10"/>
        <v>93636</v>
      </c>
      <c r="J140">
        <v>475413</v>
      </c>
      <c r="K140">
        <v>468613</v>
      </c>
      <c r="L140">
        <f t="shared" si="11"/>
        <v>6800</v>
      </c>
      <c r="M140">
        <f t="shared" si="12"/>
        <v>93636</v>
      </c>
      <c r="N140">
        <f t="shared" si="13"/>
        <v>0</v>
      </c>
      <c r="O140">
        <v>11451</v>
      </c>
      <c r="R140" t="s">
        <v>39</v>
      </c>
    </row>
    <row r="141" spans="1:20" x14ac:dyDescent="0.25">
      <c r="A141" s="2">
        <v>45781</v>
      </c>
      <c r="B141">
        <v>117077</v>
      </c>
      <c r="C141">
        <v>54081</v>
      </c>
      <c r="D141">
        <f t="shared" si="9"/>
        <v>62996</v>
      </c>
      <c r="E141">
        <v>2000</v>
      </c>
      <c r="F141">
        <v>30730</v>
      </c>
      <c r="G141">
        <v>32265</v>
      </c>
      <c r="H141">
        <v>800</v>
      </c>
      <c r="I141">
        <f t="shared" si="10"/>
        <v>65795</v>
      </c>
      <c r="J141">
        <v>478213</v>
      </c>
      <c r="K141">
        <v>475413</v>
      </c>
      <c r="L141">
        <f t="shared" si="11"/>
        <v>2800</v>
      </c>
      <c r="M141">
        <f t="shared" si="12"/>
        <v>65796</v>
      </c>
      <c r="N141">
        <f t="shared" si="13"/>
        <v>-1</v>
      </c>
      <c r="R141" t="s">
        <v>38</v>
      </c>
    </row>
    <row r="142" spans="1:20" x14ac:dyDescent="0.25">
      <c r="A142" s="2">
        <v>45782</v>
      </c>
      <c r="B142">
        <v>171831</v>
      </c>
      <c r="C142">
        <v>117077</v>
      </c>
      <c r="D142">
        <f t="shared" si="9"/>
        <v>54754</v>
      </c>
      <c r="E142">
        <v>17096</v>
      </c>
      <c r="F142">
        <v>32166</v>
      </c>
      <c r="G142">
        <v>16075</v>
      </c>
      <c r="H142">
        <v>2200</v>
      </c>
      <c r="I142">
        <f t="shared" si="10"/>
        <v>67537</v>
      </c>
      <c r="J142">
        <v>491013</v>
      </c>
      <c r="K142">
        <v>478213</v>
      </c>
      <c r="L142">
        <f t="shared" si="11"/>
        <v>12800</v>
      </c>
      <c r="M142">
        <f t="shared" si="12"/>
        <v>67554</v>
      </c>
      <c r="N142">
        <f t="shared" si="13"/>
        <v>-17</v>
      </c>
    </row>
    <row r="143" spans="1:20" x14ac:dyDescent="0.25">
      <c r="A143" s="2">
        <v>45783</v>
      </c>
      <c r="B143">
        <v>288530</v>
      </c>
      <c r="C143">
        <v>171831</v>
      </c>
      <c r="D143">
        <f t="shared" si="9"/>
        <v>116699</v>
      </c>
      <c r="E143">
        <v>13904</v>
      </c>
      <c r="F143">
        <v>67945</v>
      </c>
      <c r="G143">
        <v>55955</v>
      </c>
      <c r="H143">
        <v>800</v>
      </c>
      <c r="I143">
        <f t="shared" si="10"/>
        <v>138604</v>
      </c>
      <c r="J143">
        <v>512918</v>
      </c>
      <c r="K143">
        <v>491013</v>
      </c>
      <c r="L143">
        <f t="shared" si="11"/>
        <v>21905</v>
      </c>
      <c r="M143">
        <f t="shared" si="12"/>
        <v>138604</v>
      </c>
      <c r="N143">
        <f t="shared" si="13"/>
        <v>0</v>
      </c>
      <c r="O143">
        <v>13904</v>
      </c>
    </row>
    <row r="144" spans="1:20" x14ac:dyDescent="0.25">
      <c r="D144">
        <f t="shared" si="9"/>
        <v>0</v>
      </c>
      <c r="I144">
        <f t="shared" si="10"/>
        <v>0</v>
      </c>
      <c r="L144">
        <f t="shared" si="11"/>
        <v>0</v>
      </c>
      <c r="M144">
        <f t="shared" si="12"/>
        <v>0</v>
      </c>
      <c r="N144">
        <f t="shared" si="13"/>
        <v>0</v>
      </c>
    </row>
    <row r="145" spans="1:21" x14ac:dyDescent="0.25">
      <c r="B145" t="s">
        <v>5</v>
      </c>
      <c r="C145" t="s">
        <v>6</v>
      </c>
      <c r="D145" t="s">
        <v>16</v>
      </c>
      <c r="E145" t="s">
        <v>8</v>
      </c>
      <c r="F145" t="s">
        <v>9</v>
      </c>
      <c r="G145" t="s">
        <v>10</v>
      </c>
      <c r="H145" t="s">
        <v>17</v>
      </c>
      <c r="I145" t="s">
        <v>12</v>
      </c>
      <c r="J145" t="s">
        <v>18</v>
      </c>
      <c r="K145" t="s">
        <v>19</v>
      </c>
      <c r="L145" t="s">
        <v>16</v>
      </c>
      <c r="M145" t="s">
        <v>2</v>
      </c>
      <c r="N145" t="s">
        <v>16</v>
      </c>
    </row>
    <row r="146" spans="1:21" x14ac:dyDescent="0.25">
      <c r="A146" s="2">
        <v>45938</v>
      </c>
      <c r="B146">
        <v>384795</v>
      </c>
      <c r="C146">
        <v>264459</v>
      </c>
      <c r="D146">
        <f t="shared" si="9"/>
        <v>120336</v>
      </c>
      <c r="E146">
        <v>27328</v>
      </c>
      <c r="F146">
        <v>83889</v>
      </c>
      <c r="G146">
        <v>64310</v>
      </c>
      <c r="H146">
        <v>800</v>
      </c>
      <c r="I146">
        <f t="shared" si="10"/>
        <v>176327</v>
      </c>
      <c r="J146">
        <v>632750</v>
      </c>
      <c r="K146">
        <v>576761</v>
      </c>
      <c r="L146">
        <f t="shared" si="11"/>
        <v>55989</v>
      </c>
      <c r="M146">
        <f t="shared" si="12"/>
        <v>176325</v>
      </c>
      <c r="N146">
        <f t="shared" si="13"/>
        <v>2</v>
      </c>
      <c r="P146">
        <v>5000</v>
      </c>
    </row>
    <row r="147" spans="1:21" x14ac:dyDescent="0.25">
      <c r="A147" s="2">
        <v>45939</v>
      </c>
      <c r="B147">
        <v>487966</v>
      </c>
      <c r="C147">
        <v>384795</v>
      </c>
      <c r="D147">
        <f t="shared" si="9"/>
        <v>103171</v>
      </c>
      <c r="E147">
        <v>13556</v>
      </c>
      <c r="F147">
        <v>75057</v>
      </c>
      <c r="G147">
        <v>51285</v>
      </c>
      <c r="H147">
        <v>800</v>
      </c>
      <c r="I147">
        <f t="shared" si="10"/>
        <v>140698</v>
      </c>
      <c r="J147">
        <v>670278</v>
      </c>
      <c r="K147">
        <v>632750</v>
      </c>
      <c r="L147">
        <f t="shared" si="11"/>
        <v>37528</v>
      </c>
      <c r="M147">
        <f t="shared" si="12"/>
        <v>140699</v>
      </c>
      <c r="N147">
        <f t="shared" si="13"/>
        <v>-1</v>
      </c>
    </row>
    <row r="148" spans="1:21" x14ac:dyDescent="0.25">
      <c r="A148" s="2">
        <v>45940</v>
      </c>
      <c r="B148">
        <v>565280</v>
      </c>
      <c r="C148">
        <v>487966</v>
      </c>
      <c r="D148">
        <f t="shared" si="9"/>
        <v>77314</v>
      </c>
      <c r="E148">
        <v>16493</v>
      </c>
      <c r="F148">
        <v>49634</v>
      </c>
      <c r="G148">
        <v>45630</v>
      </c>
      <c r="H148">
        <v>800</v>
      </c>
      <c r="I148">
        <f t="shared" si="10"/>
        <v>112557</v>
      </c>
      <c r="J148">
        <v>705519</v>
      </c>
      <c r="K148">
        <v>670278</v>
      </c>
      <c r="L148">
        <f t="shared" si="11"/>
        <v>35241</v>
      </c>
      <c r="M148">
        <f t="shared" si="12"/>
        <v>112555</v>
      </c>
      <c r="N148">
        <f t="shared" si="13"/>
        <v>2</v>
      </c>
    </row>
    <row r="149" spans="1:21" x14ac:dyDescent="0.25">
      <c r="D149">
        <f t="shared" si="9"/>
        <v>0</v>
      </c>
      <c r="I149">
        <f t="shared" si="10"/>
        <v>0</v>
      </c>
      <c r="L149">
        <f t="shared" si="11"/>
        <v>0</v>
      </c>
      <c r="M149">
        <f t="shared" si="12"/>
        <v>0</v>
      </c>
      <c r="N149">
        <f t="shared" si="13"/>
        <v>0</v>
      </c>
      <c r="O149" t="s">
        <v>20</v>
      </c>
      <c r="P149" t="s">
        <v>21</v>
      </c>
      <c r="Q149" t="s">
        <v>22</v>
      </c>
      <c r="R149" t="s">
        <v>23</v>
      </c>
      <c r="S149" t="s">
        <v>24</v>
      </c>
      <c r="T149" t="s">
        <v>26</v>
      </c>
      <c r="U149" t="s">
        <v>40</v>
      </c>
    </row>
    <row r="150" spans="1:21" x14ac:dyDescent="0.25">
      <c r="A150" s="2">
        <v>45953</v>
      </c>
      <c r="B150">
        <v>682500</v>
      </c>
      <c r="C150">
        <v>585148</v>
      </c>
      <c r="D150">
        <f t="shared" si="9"/>
        <v>97352</v>
      </c>
      <c r="E150">
        <v>1795</v>
      </c>
      <c r="F150">
        <v>119413</v>
      </c>
      <c r="G150">
        <v>26570</v>
      </c>
      <c r="H150">
        <v>800</v>
      </c>
      <c r="I150">
        <f t="shared" si="10"/>
        <v>148578</v>
      </c>
      <c r="J150">
        <v>184827</v>
      </c>
      <c r="K150">
        <v>133604</v>
      </c>
      <c r="L150">
        <f t="shared" si="11"/>
        <v>51223</v>
      </c>
      <c r="M150">
        <f t="shared" si="12"/>
        <v>148575</v>
      </c>
      <c r="N150">
        <f t="shared" si="13"/>
        <v>3</v>
      </c>
      <c r="R150">
        <v>3000</v>
      </c>
      <c r="U150">
        <v>13952</v>
      </c>
    </row>
    <row r="151" spans="1:21" x14ac:dyDescent="0.25">
      <c r="A151" s="2">
        <v>45954</v>
      </c>
      <c r="B151">
        <v>746880</v>
      </c>
      <c r="C151">
        <v>682500</v>
      </c>
      <c r="D151">
        <f t="shared" si="9"/>
        <v>64380</v>
      </c>
      <c r="I151">
        <f t="shared" si="10"/>
        <v>0</v>
      </c>
      <c r="J151">
        <v>673603</v>
      </c>
      <c r="K151">
        <v>184827</v>
      </c>
      <c r="L151">
        <f t="shared" si="11"/>
        <v>488776</v>
      </c>
      <c r="M151">
        <f t="shared" si="12"/>
        <v>553156</v>
      </c>
      <c r="N151">
        <f t="shared" si="13"/>
        <v>-553156</v>
      </c>
    </row>
    <row r="152" spans="1:21" x14ac:dyDescent="0.25">
      <c r="D152">
        <f t="shared" si="9"/>
        <v>0</v>
      </c>
      <c r="I152">
        <f t="shared" si="10"/>
        <v>0</v>
      </c>
      <c r="L152">
        <f t="shared" si="11"/>
        <v>0</v>
      </c>
      <c r="M152">
        <f t="shared" si="12"/>
        <v>0</v>
      </c>
      <c r="N152">
        <f t="shared" si="13"/>
        <v>0</v>
      </c>
    </row>
    <row r="153" spans="1:21" x14ac:dyDescent="0.25">
      <c r="D153">
        <f t="shared" si="9"/>
        <v>0</v>
      </c>
      <c r="I153">
        <f t="shared" si="10"/>
        <v>0</v>
      </c>
      <c r="L153">
        <f t="shared" si="11"/>
        <v>0</v>
      </c>
      <c r="M153">
        <f t="shared" si="12"/>
        <v>0</v>
      </c>
      <c r="N153">
        <f t="shared" si="13"/>
        <v>0</v>
      </c>
    </row>
    <row r="154" spans="1:21" x14ac:dyDescent="0.25">
      <c r="D154">
        <f t="shared" si="9"/>
        <v>0</v>
      </c>
      <c r="I154">
        <f t="shared" si="10"/>
        <v>0</v>
      </c>
      <c r="L154">
        <f t="shared" si="11"/>
        <v>0</v>
      </c>
      <c r="M154">
        <f t="shared" si="12"/>
        <v>0</v>
      </c>
      <c r="N154">
        <f t="shared" si="13"/>
        <v>0</v>
      </c>
    </row>
    <row r="155" spans="1:21" x14ac:dyDescent="0.25">
      <c r="D155">
        <f t="shared" si="9"/>
        <v>0</v>
      </c>
      <c r="I155">
        <f t="shared" si="10"/>
        <v>0</v>
      </c>
      <c r="L155">
        <f t="shared" si="11"/>
        <v>0</v>
      </c>
      <c r="M155">
        <f t="shared" si="12"/>
        <v>0</v>
      </c>
      <c r="N155">
        <f t="shared" si="13"/>
        <v>0</v>
      </c>
    </row>
    <row r="156" spans="1:21" x14ac:dyDescent="0.25">
      <c r="D156">
        <f t="shared" si="9"/>
        <v>0</v>
      </c>
      <c r="I156">
        <f t="shared" si="10"/>
        <v>0</v>
      </c>
      <c r="L156">
        <f t="shared" si="11"/>
        <v>0</v>
      </c>
      <c r="M156">
        <f t="shared" si="12"/>
        <v>0</v>
      </c>
      <c r="N156">
        <f t="shared" si="13"/>
        <v>0</v>
      </c>
    </row>
    <row r="157" spans="1:21" x14ac:dyDescent="0.25">
      <c r="D157">
        <f t="shared" si="9"/>
        <v>0</v>
      </c>
      <c r="I157">
        <f t="shared" si="10"/>
        <v>0</v>
      </c>
      <c r="L157">
        <f t="shared" si="11"/>
        <v>0</v>
      </c>
      <c r="M157">
        <f t="shared" si="12"/>
        <v>0</v>
      </c>
      <c r="N157">
        <f t="shared" si="13"/>
        <v>0</v>
      </c>
    </row>
    <row r="158" spans="1:21" x14ac:dyDescent="0.25">
      <c r="D158">
        <f t="shared" si="9"/>
        <v>0</v>
      </c>
      <c r="I158">
        <f t="shared" si="10"/>
        <v>0</v>
      </c>
      <c r="L158">
        <f t="shared" si="11"/>
        <v>0</v>
      </c>
      <c r="M158">
        <f t="shared" si="12"/>
        <v>0</v>
      </c>
      <c r="N158">
        <f t="shared" si="13"/>
        <v>0</v>
      </c>
    </row>
    <row r="159" spans="1:21" x14ac:dyDescent="0.25">
      <c r="D159">
        <f t="shared" si="9"/>
        <v>0</v>
      </c>
      <c r="I159">
        <f t="shared" si="10"/>
        <v>0</v>
      </c>
      <c r="L159">
        <f t="shared" si="11"/>
        <v>0</v>
      </c>
      <c r="M159">
        <f t="shared" si="12"/>
        <v>0</v>
      </c>
      <c r="N159">
        <f t="shared" si="13"/>
        <v>0</v>
      </c>
    </row>
    <row r="160" spans="1:21" x14ac:dyDescent="0.25">
      <c r="D160">
        <f t="shared" si="9"/>
        <v>0</v>
      </c>
      <c r="I160">
        <f t="shared" si="10"/>
        <v>0</v>
      </c>
      <c r="L160">
        <f t="shared" si="11"/>
        <v>0</v>
      </c>
      <c r="M160">
        <f t="shared" si="12"/>
        <v>0</v>
      </c>
      <c r="N160">
        <f t="shared" si="13"/>
        <v>0</v>
      </c>
    </row>
    <row r="161" spans="4:14" x14ac:dyDescent="0.25">
      <c r="D161">
        <f t="shared" si="9"/>
        <v>0</v>
      </c>
      <c r="I161">
        <f t="shared" si="10"/>
        <v>0</v>
      </c>
      <c r="L161">
        <f t="shared" si="11"/>
        <v>0</v>
      </c>
      <c r="M161">
        <f t="shared" si="12"/>
        <v>0</v>
      </c>
      <c r="N161">
        <f t="shared" si="13"/>
        <v>0</v>
      </c>
    </row>
    <row r="162" spans="4:14" x14ac:dyDescent="0.25">
      <c r="D162">
        <f t="shared" si="9"/>
        <v>0</v>
      </c>
      <c r="I162">
        <f t="shared" si="10"/>
        <v>0</v>
      </c>
      <c r="L162">
        <f t="shared" si="11"/>
        <v>0</v>
      </c>
      <c r="M162">
        <f t="shared" si="12"/>
        <v>0</v>
      </c>
      <c r="N162">
        <f t="shared" si="13"/>
        <v>0</v>
      </c>
    </row>
    <row r="163" spans="4:14" x14ac:dyDescent="0.25">
      <c r="D163">
        <f t="shared" si="9"/>
        <v>0</v>
      </c>
      <c r="I163">
        <f t="shared" si="10"/>
        <v>0</v>
      </c>
      <c r="L163">
        <f t="shared" si="11"/>
        <v>0</v>
      </c>
      <c r="M163">
        <f t="shared" si="12"/>
        <v>0</v>
      </c>
      <c r="N163">
        <f t="shared" si="13"/>
        <v>0</v>
      </c>
    </row>
    <row r="164" spans="4:14" x14ac:dyDescent="0.25">
      <c r="D164">
        <f t="shared" si="9"/>
        <v>0</v>
      </c>
      <c r="I164">
        <f t="shared" si="10"/>
        <v>0</v>
      </c>
      <c r="L164">
        <f t="shared" si="11"/>
        <v>0</v>
      </c>
      <c r="M164">
        <f t="shared" si="12"/>
        <v>0</v>
      </c>
      <c r="N164">
        <f t="shared" si="13"/>
        <v>0</v>
      </c>
    </row>
    <row r="165" spans="4:14" x14ac:dyDescent="0.25">
      <c r="D165">
        <f t="shared" si="9"/>
        <v>0</v>
      </c>
      <c r="I165">
        <f t="shared" si="10"/>
        <v>0</v>
      </c>
      <c r="L165">
        <f t="shared" si="11"/>
        <v>0</v>
      </c>
      <c r="M165">
        <f t="shared" si="12"/>
        <v>0</v>
      </c>
      <c r="N165">
        <f t="shared" si="13"/>
        <v>0</v>
      </c>
    </row>
    <row r="166" spans="4:14" x14ac:dyDescent="0.25">
      <c r="D166">
        <f t="shared" si="9"/>
        <v>0</v>
      </c>
      <c r="I166">
        <f t="shared" si="10"/>
        <v>0</v>
      </c>
      <c r="L166">
        <f t="shared" si="11"/>
        <v>0</v>
      </c>
      <c r="M166">
        <f t="shared" si="12"/>
        <v>0</v>
      </c>
      <c r="N166">
        <f t="shared" si="13"/>
        <v>0</v>
      </c>
    </row>
    <row r="167" spans="4:14" x14ac:dyDescent="0.25">
      <c r="D167">
        <f t="shared" si="9"/>
        <v>0</v>
      </c>
      <c r="I167">
        <f t="shared" si="10"/>
        <v>0</v>
      </c>
      <c r="L167">
        <f t="shared" si="11"/>
        <v>0</v>
      </c>
      <c r="M167">
        <f t="shared" si="12"/>
        <v>0</v>
      </c>
      <c r="N167">
        <f t="shared" si="13"/>
        <v>0</v>
      </c>
    </row>
    <row r="168" spans="4:14" x14ac:dyDescent="0.25">
      <c r="D168">
        <f t="shared" si="9"/>
        <v>0</v>
      </c>
      <c r="I168">
        <f t="shared" si="10"/>
        <v>0</v>
      </c>
      <c r="L168">
        <f t="shared" si="11"/>
        <v>0</v>
      </c>
      <c r="M168">
        <f t="shared" si="12"/>
        <v>0</v>
      </c>
      <c r="N168">
        <f t="shared" si="13"/>
        <v>0</v>
      </c>
    </row>
    <row r="169" spans="4:14" x14ac:dyDescent="0.25">
      <c r="D169">
        <f t="shared" si="9"/>
        <v>0</v>
      </c>
      <c r="I169">
        <f t="shared" si="10"/>
        <v>0</v>
      </c>
      <c r="L169">
        <f t="shared" si="11"/>
        <v>0</v>
      </c>
      <c r="M169">
        <f t="shared" si="12"/>
        <v>0</v>
      </c>
      <c r="N169">
        <f t="shared" si="13"/>
        <v>0</v>
      </c>
    </row>
    <row r="170" spans="4:14" x14ac:dyDescent="0.25">
      <c r="D170">
        <f t="shared" ref="D170:D233" si="14">B170-C170</f>
        <v>0</v>
      </c>
      <c r="I170">
        <f t="shared" ref="I170:I233" si="15">E170+F170+G170+H170</f>
        <v>0</v>
      </c>
      <c r="L170">
        <f t="shared" ref="L170:L233" si="16">J170-K170</f>
        <v>0</v>
      </c>
      <c r="M170">
        <f t="shared" si="12"/>
        <v>0</v>
      </c>
      <c r="N170">
        <f t="shared" si="13"/>
        <v>0</v>
      </c>
    </row>
    <row r="171" spans="4:14" x14ac:dyDescent="0.25">
      <c r="D171">
        <f t="shared" si="14"/>
        <v>0</v>
      </c>
      <c r="I171">
        <f t="shared" si="15"/>
        <v>0</v>
      </c>
      <c r="L171">
        <f t="shared" si="16"/>
        <v>0</v>
      </c>
      <c r="M171">
        <f t="shared" ref="M171:M234" si="17">D171+L171</f>
        <v>0</v>
      </c>
      <c r="N171">
        <f t="shared" ref="N171:N234" si="18">I171-M171</f>
        <v>0</v>
      </c>
    </row>
    <row r="172" spans="4:14" x14ac:dyDescent="0.25">
      <c r="D172">
        <f t="shared" si="14"/>
        <v>0</v>
      </c>
      <c r="I172">
        <f t="shared" si="15"/>
        <v>0</v>
      </c>
      <c r="L172">
        <f t="shared" si="16"/>
        <v>0</v>
      </c>
      <c r="M172">
        <f t="shared" si="17"/>
        <v>0</v>
      </c>
      <c r="N172">
        <f t="shared" si="18"/>
        <v>0</v>
      </c>
    </row>
    <row r="173" spans="4:14" x14ac:dyDescent="0.25">
      <c r="D173">
        <f t="shared" si="14"/>
        <v>0</v>
      </c>
      <c r="I173">
        <f t="shared" si="15"/>
        <v>0</v>
      </c>
      <c r="L173">
        <f t="shared" si="16"/>
        <v>0</v>
      </c>
      <c r="M173">
        <f t="shared" si="17"/>
        <v>0</v>
      </c>
      <c r="N173">
        <f t="shared" si="18"/>
        <v>0</v>
      </c>
    </row>
    <row r="174" spans="4:14" x14ac:dyDescent="0.25">
      <c r="D174">
        <f t="shared" si="14"/>
        <v>0</v>
      </c>
      <c r="I174">
        <f t="shared" si="15"/>
        <v>0</v>
      </c>
      <c r="L174">
        <f t="shared" si="16"/>
        <v>0</v>
      </c>
      <c r="M174">
        <f t="shared" si="17"/>
        <v>0</v>
      </c>
      <c r="N174">
        <f t="shared" si="18"/>
        <v>0</v>
      </c>
    </row>
    <row r="175" spans="4:14" x14ac:dyDescent="0.25">
      <c r="D175">
        <f t="shared" si="14"/>
        <v>0</v>
      </c>
      <c r="I175">
        <f t="shared" si="15"/>
        <v>0</v>
      </c>
      <c r="L175">
        <f t="shared" si="16"/>
        <v>0</v>
      </c>
      <c r="M175">
        <f t="shared" si="17"/>
        <v>0</v>
      </c>
      <c r="N175">
        <f t="shared" si="18"/>
        <v>0</v>
      </c>
    </row>
    <row r="176" spans="4:14" x14ac:dyDescent="0.25">
      <c r="D176">
        <f t="shared" si="14"/>
        <v>0</v>
      </c>
      <c r="I176">
        <f t="shared" si="15"/>
        <v>0</v>
      </c>
      <c r="L176">
        <f t="shared" si="16"/>
        <v>0</v>
      </c>
      <c r="M176">
        <f t="shared" si="17"/>
        <v>0</v>
      </c>
      <c r="N176">
        <f t="shared" si="18"/>
        <v>0</v>
      </c>
    </row>
    <row r="177" spans="4:14" x14ac:dyDescent="0.25">
      <c r="D177">
        <f t="shared" si="14"/>
        <v>0</v>
      </c>
      <c r="I177">
        <f t="shared" si="15"/>
        <v>0</v>
      </c>
      <c r="L177">
        <f t="shared" si="16"/>
        <v>0</v>
      </c>
      <c r="M177">
        <f t="shared" si="17"/>
        <v>0</v>
      </c>
      <c r="N177">
        <f t="shared" si="18"/>
        <v>0</v>
      </c>
    </row>
    <row r="178" spans="4:14" x14ac:dyDescent="0.25">
      <c r="D178">
        <f t="shared" si="14"/>
        <v>0</v>
      </c>
      <c r="I178">
        <f t="shared" si="15"/>
        <v>0</v>
      </c>
      <c r="L178">
        <f t="shared" si="16"/>
        <v>0</v>
      </c>
      <c r="M178">
        <f t="shared" si="17"/>
        <v>0</v>
      </c>
      <c r="N178">
        <f t="shared" si="18"/>
        <v>0</v>
      </c>
    </row>
    <row r="179" spans="4:14" x14ac:dyDescent="0.25">
      <c r="D179">
        <f t="shared" si="14"/>
        <v>0</v>
      </c>
      <c r="I179">
        <f t="shared" si="15"/>
        <v>0</v>
      </c>
      <c r="L179">
        <f t="shared" si="16"/>
        <v>0</v>
      </c>
      <c r="M179">
        <f t="shared" si="17"/>
        <v>0</v>
      </c>
      <c r="N179">
        <f t="shared" si="18"/>
        <v>0</v>
      </c>
    </row>
    <row r="180" spans="4:14" x14ac:dyDescent="0.25">
      <c r="D180">
        <f t="shared" si="14"/>
        <v>0</v>
      </c>
      <c r="I180">
        <f t="shared" si="15"/>
        <v>0</v>
      </c>
      <c r="L180">
        <f t="shared" si="16"/>
        <v>0</v>
      </c>
      <c r="M180">
        <f t="shared" si="17"/>
        <v>0</v>
      </c>
      <c r="N180">
        <f t="shared" si="18"/>
        <v>0</v>
      </c>
    </row>
    <row r="181" spans="4:14" x14ac:dyDescent="0.25">
      <c r="D181">
        <f t="shared" si="14"/>
        <v>0</v>
      </c>
      <c r="I181">
        <f t="shared" si="15"/>
        <v>0</v>
      </c>
      <c r="L181">
        <f t="shared" si="16"/>
        <v>0</v>
      </c>
      <c r="M181">
        <f t="shared" si="17"/>
        <v>0</v>
      </c>
      <c r="N181">
        <f t="shared" si="18"/>
        <v>0</v>
      </c>
    </row>
    <row r="182" spans="4:14" x14ac:dyDescent="0.25">
      <c r="D182">
        <f t="shared" si="14"/>
        <v>0</v>
      </c>
      <c r="I182">
        <f t="shared" si="15"/>
        <v>0</v>
      </c>
      <c r="L182">
        <f t="shared" si="16"/>
        <v>0</v>
      </c>
      <c r="M182">
        <f t="shared" si="17"/>
        <v>0</v>
      </c>
      <c r="N182">
        <f t="shared" si="18"/>
        <v>0</v>
      </c>
    </row>
    <row r="183" spans="4:14" x14ac:dyDescent="0.25">
      <c r="D183">
        <f t="shared" si="14"/>
        <v>0</v>
      </c>
      <c r="I183">
        <f t="shared" si="15"/>
        <v>0</v>
      </c>
      <c r="L183">
        <f t="shared" si="16"/>
        <v>0</v>
      </c>
      <c r="M183">
        <f t="shared" si="17"/>
        <v>0</v>
      </c>
      <c r="N183">
        <f t="shared" si="18"/>
        <v>0</v>
      </c>
    </row>
    <row r="184" spans="4:14" x14ac:dyDescent="0.25">
      <c r="D184">
        <f t="shared" si="14"/>
        <v>0</v>
      </c>
      <c r="I184">
        <f t="shared" si="15"/>
        <v>0</v>
      </c>
      <c r="L184">
        <f t="shared" si="16"/>
        <v>0</v>
      </c>
      <c r="M184">
        <f t="shared" si="17"/>
        <v>0</v>
      </c>
      <c r="N184">
        <f t="shared" si="18"/>
        <v>0</v>
      </c>
    </row>
    <row r="185" spans="4:14" x14ac:dyDescent="0.25">
      <c r="D185">
        <f t="shared" si="14"/>
        <v>0</v>
      </c>
      <c r="I185">
        <f t="shared" si="15"/>
        <v>0</v>
      </c>
      <c r="L185">
        <f t="shared" si="16"/>
        <v>0</v>
      </c>
      <c r="M185">
        <f t="shared" si="17"/>
        <v>0</v>
      </c>
      <c r="N185">
        <f t="shared" si="18"/>
        <v>0</v>
      </c>
    </row>
    <row r="186" spans="4:14" x14ac:dyDescent="0.25">
      <c r="D186">
        <f t="shared" si="14"/>
        <v>0</v>
      </c>
      <c r="I186">
        <f t="shared" si="15"/>
        <v>0</v>
      </c>
      <c r="L186">
        <f t="shared" si="16"/>
        <v>0</v>
      </c>
      <c r="M186">
        <f t="shared" si="17"/>
        <v>0</v>
      </c>
      <c r="N186">
        <f t="shared" si="18"/>
        <v>0</v>
      </c>
    </row>
    <row r="187" spans="4:14" x14ac:dyDescent="0.25">
      <c r="D187">
        <f t="shared" si="14"/>
        <v>0</v>
      </c>
      <c r="I187">
        <f t="shared" si="15"/>
        <v>0</v>
      </c>
      <c r="L187">
        <f t="shared" si="16"/>
        <v>0</v>
      </c>
      <c r="M187">
        <f t="shared" si="17"/>
        <v>0</v>
      </c>
      <c r="N187">
        <f t="shared" si="18"/>
        <v>0</v>
      </c>
    </row>
    <row r="188" spans="4:14" x14ac:dyDescent="0.25">
      <c r="D188">
        <f t="shared" si="14"/>
        <v>0</v>
      </c>
      <c r="I188">
        <f t="shared" si="15"/>
        <v>0</v>
      </c>
      <c r="L188">
        <f t="shared" si="16"/>
        <v>0</v>
      </c>
      <c r="M188">
        <f t="shared" si="17"/>
        <v>0</v>
      </c>
      <c r="N188">
        <f t="shared" si="18"/>
        <v>0</v>
      </c>
    </row>
    <row r="189" spans="4:14" x14ac:dyDescent="0.25">
      <c r="D189">
        <f t="shared" si="14"/>
        <v>0</v>
      </c>
      <c r="I189">
        <f t="shared" si="15"/>
        <v>0</v>
      </c>
      <c r="L189">
        <f t="shared" si="16"/>
        <v>0</v>
      </c>
      <c r="M189">
        <f t="shared" si="17"/>
        <v>0</v>
      </c>
      <c r="N189">
        <f t="shared" si="18"/>
        <v>0</v>
      </c>
    </row>
    <row r="190" spans="4:14" x14ac:dyDescent="0.25">
      <c r="D190">
        <f t="shared" si="14"/>
        <v>0</v>
      </c>
      <c r="I190">
        <f t="shared" si="15"/>
        <v>0</v>
      </c>
      <c r="L190">
        <f t="shared" si="16"/>
        <v>0</v>
      </c>
      <c r="M190">
        <f t="shared" si="17"/>
        <v>0</v>
      </c>
      <c r="N190">
        <f t="shared" si="18"/>
        <v>0</v>
      </c>
    </row>
    <row r="191" spans="4:14" x14ac:dyDescent="0.25">
      <c r="D191">
        <f t="shared" si="14"/>
        <v>0</v>
      </c>
      <c r="I191">
        <f t="shared" si="15"/>
        <v>0</v>
      </c>
      <c r="L191">
        <f t="shared" si="16"/>
        <v>0</v>
      </c>
      <c r="M191">
        <f t="shared" si="17"/>
        <v>0</v>
      </c>
      <c r="N191">
        <f t="shared" si="18"/>
        <v>0</v>
      </c>
    </row>
    <row r="192" spans="4:14" x14ac:dyDescent="0.25">
      <c r="D192">
        <f t="shared" si="14"/>
        <v>0</v>
      </c>
      <c r="I192">
        <f t="shared" si="15"/>
        <v>0</v>
      </c>
      <c r="L192">
        <f t="shared" si="16"/>
        <v>0</v>
      </c>
      <c r="M192">
        <f t="shared" si="17"/>
        <v>0</v>
      </c>
      <c r="N192">
        <f t="shared" si="18"/>
        <v>0</v>
      </c>
    </row>
    <row r="193" spans="4:14" x14ac:dyDescent="0.25">
      <c r="D193">
        <f t="shared" si="14"/>
        <v>0</v>
      </c>
      <c r="I193">
        <f t="shared" si="15"/>
        <v>0</v>
      </c>
      <c r="L193">
        <f t="shared" si="16"/>
        <v>0</v>
      </c>
      <c r="M193">
        <f t="shared" si="17"/>
        <v>0</v>
      </c>
      <c r="N193">
        <f t="shared" si="18"/>
        <v>0</v>
      </c>
    </row>
    <row r="194" spans="4:14" x14ac:dyDescent="0.25">
      <c r="D194">
        <f t="shared" si="14"/>
        <v>0</v>
      </c>
      <c r="I194">
        <f t="shared" si="15"/>
        <v>0</v>
      </c>
      <c r="L194">
        <f t="shared" si="16"/>
        <v>0</v>
      </c>
      <c r="M194">
        <f t="shared" si="17"/>
        <v>0</v>
      </c>
      <c r="N194">
        <f t="shared" si="18"/>
        <v>0</v>
      </c>
    </row>
    <row r="195" spans="4:14" x14ac:dyDescent="0.25">
      <c r="D195">
        <f t="shared" si="14"/>
        <v>0</v>
      </c>
      <c r="I195">
        <f t="shared" si="15"/>
        <v>0</v>
      </c>
      <c r="L195">
        <f t="shared" si="16"/>
        <v>0</v>
      </c>
      <c r="M195">
        <f t="shared" si="17"/>
        <v>0</v>
      </c>
      <c r="N195">
        <f t="shared" si="18"/>
        <v>0</v>
      </c>
    </row>
    <row r="196" spans="4:14" x14ac:dyDescent="0.25">
      <c r="D196">
        <f t="shared" si="14"/>
        <v>0</v>
      </c>
      <c r="I196">
        <f t="shared" si="15"/>
        <v>0</v>
      </c>
      <c r="L196">
        <f t="shared" si="16"/>
        <v>0</v>
      </c>
      <c r="M196">
        <f t="shared" si="17"/>
        <v>0</v>
      </c>
      <c r="N196">
        <f t="shared" si="18"/>
        <v>0</v>
      </c>
    </row>
    <row r="197" spans="4:14" x14ac:dyDescent="0.25">
      <c r="D197">
        <f t="shared" si="14"/>
        <v>0</v>
      </c>
      <c r="I197">
        <f t="shared" si="15"/>
        <v>0</v>
      </c>
      <c r="L197">
        <f t="shared" si="16"/>
        <v>0</v>
      </c>
      <c r="M197">
        <f t="shared" si="17"/>
        <v>0</v>
      </c>
      <c r="N197">
        <f t="shared" si="18"/>
        <v>0</v>
      </c>
    </row>
    <row r="198" spans="4:14" x14ac:dyDescent="0.25">
      <c r="D198">
        <f t="shared" si="14"/>
        <v>0</v>
      </c>
      <c r="I198">
        <f t="shared" si="15"/>
        <v>0</v>
      </c>
      <c r="L198">
        <f t="shared" si="16"/>
        <v>0</v>
      </c>
      <c r="M198">
        <f t="shared" si="17"/>
        <v>0</v>
      </c>
      <c r="N198">
        <f t="shared" si="18"/>
        <v>0</v>
      </c>
    </row>
    <row r="199" spans="4:14" x14ac:dyDescent="0.25">
      <c r="D199">
        <f t="shared" si="14"/>
        <v>0</v>
      </c>
      <c r="I199">
        <f t="shared" si="15"/>
        <v>0</v>
      </c>
      <c r="L199">
        <f t="shared" si="16"/>
        <v>0</v>
      </c>
      <c r="M199">
        <f t="shared" si="17"/>
        <v>0</v>
      </c>
      <c r="N199">
        <f t="shared" si="18"/>
        <v>0</v>
      </c>
    </row>
    <row r="200" spans="4:14" x14ac:dyDescent="0.25">
      <c r="D200">
        <f t="shared" si="14"/>
        <v>0</v>
      </c>
      <c r="I200">
        <f t="shared" si="15"/>
        <v>0</v>
      </c>
      <c r="L200">
        <f t="shared" si="16"/>
        <v>0</v>
      </c>
      <c r="M200">
        <f t="shared" si="17"/>
        <v>0</v>
      </c>
      <c r="N200">
        <f t="shared" si="18"/>
        <v>0</v>
      </c>
    </row>
    <row r="201" spans="4:14" x14ac:dyDescent="0.25">
      <c r="D201">
        <f t="shared" si="14"/>
        <v>0</v>
      </c>
      <c r="I201">
        <f t="shared" si="15"/>
        <v>0</v>
      </c>
      <c r="L201">
        <f t="shared" si="16"/>
        <v>0</v>
      </c>
      <c r="M201">
        <f t="shared" si="17"/>
        <v>0</v>
      </c>
      <c r="N201">
        <f t="shared" si="18"/>
        <v>0</v>
      </c>
    </row>
    <row r="202" spans="4:14" x14ac:dyDescent="0.25">
      <c r="D202">
        <f t="shared" si="14"/>
        <v>0</v>
      </c>
      <c r="I202">
        <f t="shared" si="15"/>
        <v>0</v>
      </c>
      <c r="L202">
        <f t="shared" si="16"/>
        <v>0</v>
      </c>
      <c r="M202">
        <f t="shared" si="17"/>
        <v>0</v>
      </c>
      <c r="N202">
        <f t="shared" si="18"/>
        <v>0</v>
      </c>
    </row>
    <row r="203" spans="4:14" x14ac:dyDescent="0.25">
      <c r="D203">
        <f t="shared" si="14"/>
        <v>0</v>
      </c>
      <c r="I203">
        <f t="shared" si="15"/>
        <v>0</v>
      </c>
      <c r="L203">
        <f t="shared" si="16"/>
        <v>0</v>
      </c>
      <c r="M203">
        <f t="shared" si="17"/>
        <v>0</v>
      </c>
      <c r="N203">
        <f t="shared" si="18"/>
        <v>0</v>
      </c>
    </row>
    <row r="204" spans="4:14" x14ac:dyDescent="0.25">
      <c r="D204">
        <f t="shared" si="14"/>
        <v>0</v>
      </c>
      <c r="I204">
        <f t="shared" si="15"/>
        <v>0</v>
      </c>
      <c r="L204">
        <f t="shared" si="16"/>
        <v>0</v>
      </c>
      <c r="M204">
        <f t="shared" si="17"/>
        <v>0</v>
      </c>
      <c r="N204">
        <f t="shared" si="18"/>
        <v>0</v>
      </c>
    </row>
    <row r="205" spans="4:14" x14ac:dyDescent="0.25">
      <c r="D205">
        <f t="shared" si="14"/>
        <v>0</v>
      </c>
      <c r="I205">
        <f t="shared" si="15"/>
        <v>0</v>
      </c>
      <c r="L205">
        <f t="shared" si="16"/>
        <v>0</v>
      </c>
      <c r="M205">
        <f t="shared" si="17"/>
        <v>0</v>
      </c>
      <c r="N205">
        <f t="shared" si="18"/>
        <v>0</v>
      </c>
    </row>
    <row r="206" spans="4:14" x14ac:dyDescent="0.25">
      <c r="D206">
        <f t="shared" si="14"/>
        <v>0</v>
      </c>
      <c r="I206">
        <f t="shared" si="15"/>
        <v>0</v>
      </c>
      <c r="L206">
        <f t="shared" si="16"/>
        <v>0</v>
      </c>
      <c r="M206">
        <f t="shared" si="17"/>
        <v>0</v>
      </c>
      <c r="N206">
        <f t="shared" si="18"/>
        <v>0</v>
      </c>
    </row>
    <row r="207" spans="4:14" x14ac:dyDescent="0.25">
      <c r="D207">
        <f t="shared" si="14"/>
        <v>0</v>
      </c>
      <c r="I207">
        <f t="shared" si="15"/>
        <v>0</v>
      </c>
      <c r="L207">
        <f t="shared" si="16"/>
        <v>0</v>
      </c>
      <c r="M207">
        <f t="shared" si="17"/>
        <v>0</v>
      </c>
      <c r="N207">
        <f t="shared" si="18"/>
        <v>0</v>
      </c>
    </row>
    <row r="208" spans="4:14" x14ac:dyDescent="0.25">
      <c r="D208">
        <f t="shared" si="14"/>
        <v>0</v>
      </c>
      <c r="I208">
        <f t="shared" si="15"/>
        <v>0</v>
      </c>
      <c r="L208">
        <f t="shared" si="16"/>
        <v>0</v>
      </c>
      <c r="M208">
        <f t="shared" si="17"/>
        <v>0</v>
      </c>
      <c r="N208">
        <f t="shared" si="18"/>
        <v>0</v>
      </c>
    </row>
    <row r="209" spans="4:14" x14ac:dyDescent="0.25">
      <c r="D209">
        <f t="shared" si="14"/>
        <v>0</v>
      </c>
      <c r="I209">
        <f t="shared" si="15"/>
        <v>0</v>
      </c>
      <c r="L209">
        <f t="shared" si="16"/>
        <v>0</v>
      </c>
      <c r="M209">
        <f t="shared" si="17"/>
        <v>0</v>
      </c>
      <c r="N209">
        <f t="shared" si="18"/>
        <v>0</v>
      </c>
    </row>
    <row r="210" spans="4:14" x14ac:dyDescent="0.25">
      <c r="D210">
        <f t="shared" si="14"/>
        <v>0</v>
      </c>
      <c r="I210">
        <f t="shared" si="15"/>
        <v>0</v>
      </c>
      <c r="L210">
        <f t="shared" si="16"/>
        <v>0</v>
      </c>
      <c r="M210">
        <f t="shared" si="17"/>
        <v>0</v>
      </c>
      <c r="N210">
        <f t="shared" si="18"/>
        <v>0</v>
      </c>
    </row>
    <row r="211" spans="4:14" x14ac:dyDescent="0.25">
      <c r="D211">
        <f t="shared" si="14"/>
        <v>0</v>
      </c>
      <c r="I211">
        <f t="shared" si="15"/>
        <v>0</v>
      </c>
      <c r="L211">
        <f t="shared" si="16"/>
        <v>0</v>
      </c>
      <c r="M211">
        <f t="shared" si="17"/>
        <v>0</v>
      </c>
      <c r="N211">
        <f t="shared" si="18"/>
        <v>0</v>
      </c>
    </row>
    <row r="212" spans="4:14" x14ac:dyDescent="0.25">
      <c r="D212">
        <f t="shared" si="14"/>
        <v>0</v>
      </c>
      <c r="I212">
        <f t="shared" si="15"/>
        <v>0</v>
      </c>
      <c r="L212">
        <f t="shared" si="16"/>
        <v>0</v>
      </c>
      <c r="M212">
        <f t="shared" si="17"/>
        <v>0</v>
      </c>
      <c r="N212">
        <f t="shared" si="18"/>
        <v>0</v>
      </c>
    </row>
    <row r="213" spans="4:14" x14ac:dyDescent="0.25">
      <c r="D213">
        <f t="shared" si="14"/>
        <v>0</v>
      </c>
      <c r="I213">
        <f t="shared" si="15"/>
        <v>0</v>
      </c>
      <c r="L213">
        <f t="shared" si="16"/>
        <v>0</v>
      </c>
      <c r="M213">
        <f t="shared" si="17"/>
        <v>0</v>
      </c>
      <c r="N213">
        <f t="shared" si="18"/>
        <v>0</v>
      </c>
    </row>
    <row r="214" spans="4:14" x14ac:dyDescent="0.25">
      <c r="D214">
        <f t="shared" si="14"/>
        <v>0</v>
      </c>
      <c r="I214">
        <f t="shared" si="15"/>
        <v>0</v>
      </c>
      <c r="L214">
        <f t="shared" si="16"/>
        <v>0</v>
      </c>
      <c r="M214">
        <f t="shared" si="17"/>
        <v>0</v>
      </c>
      <c r="N214">
        <f t="shared" si="18"/>
        <v>0</v>
      </c>
    </row>
    <row r="215" spans="4:14" x14ac:dyDescent="0.25">
      <c r="D215">
        <f t="shared" si="14"/>
        <v>0</v>
      </c>
      <c r="I215">
        <f t="shared" si="15"/>
        <v>0</v>
      </c>
      <c r="L215">
        <f t="shared" si="16"/>
        <v>0</v>
      </c>
      <c r="M215">
        <f t="shared" si="17"/>
        <v>0</v>
      </c>
      <c r="N215">
        <f t="shared" si="18"/>
        <v>0</v>
      </c>
    </row>
    <row r="216" spans="4:14" x14ac:dyDescent="0.25">
      <c r="D216">
        <f t="shared" si="14"/>
        <v>0</v>
      </c>
      <c r="I216">
        <f t="shared" si="15"/>
        <v>0</v>
      </c>
      <c r="L216">
        <f t="shared" si="16"/>
        <v>0</v>
      </c>
      <c r="M216">
        <f t="shared" si="17"/>
        <v>0</v>
      </c>
      <c r="N216">
        <f t="shared" si="18"/>
        <v>0</v>
      </c>
    </row>
    <row r="217" spans="4:14" x14ac:dyDescent="0.25">
      <c r="D217">
        <f t="shared" si="14"/>
        <v>0</v>
      </c>
      <c r="I217">
        <f t="shared" si="15"/>
        <v>0</v>
      </c>
      <c r="L217">
        <f t="shared" si="16"/>
        <v>0</v>
      </c>
      <c r="M217">
        <f t="shared" si="17"/>
        <v>0</v>
      </c>
      <c r="N217">
        <f t="shared" si="18"/>
        <v>0</v>
      </c>
    </row>
    <row r="218" spans="4:14" x14ac:dyDescent="0.25">
      <c r="D218">
        <f t="shared" si="14"/>
        <v>0</v>
      </c>
      <c r="I218">
        <f t="shared" si="15"/>
        <v>0</v>
      </c>
      <c r="L218">
        <f t="shared" si="16"/>
        <v>0</v>
      </c>
      <c r="M218">
        <f t="shared" si="17"/>
        <v>0</v>
      </c>
      <c r="N218">
        <f t="shared" si="18"/>
        <v>0</v>
      </c>
    </row>
    <row r="219" spans="4:14" x14ac:dyDescent="0.25">
      <c r="D219">
        <f t="shared" si="14"/>
        <v>0</v>
      </c>
      <c r="I219">
        <f t="shared" si="15"/>
        <v>0</v>
      </c>
      <c r="L219">
        <f t="shared" si="16"/>
        <v>0</v>
      </c>
      <c r="M219">
        <f t="shared" si="17"/>
        <v>0</v>
      </c>
      <c r="N219">
        <f t="shared" si="18"/>
        <v>0</v>
      </c>
    </row>
    <row r="220" spans="4:14" x14ac:dyDescent="0.25">
      <c r="D220">
        <f t="shared" si="14"/>
        <v>0</v>
      </c>
      <c r="I220">
        <f t="shared" si="15"/>
        <v>0</v>
      </c>
      <c r="L220">
        <f t="shared" si="16"/>
        <v>0</v>
      </c>
      <c r="M220">
        <f t="shared" si="17"/>
        <v>0</v>
      </c>
      <c r="N220">
        <f t="shared" si="18"/>
        <v>0</v>
      </c>
    </row>
    <row r="221" spans="4:14" x14ac:dyDescent="0.25">
      <c r="D221">
        <f t="shared" si="14"/>
        <v>0</v>
      </c>
      <c r="I221">
        <f t="shared" si="15"/>
        <v>0</v>
      </c>
      <c r="L221">
        <f t="shared" si="16"/>
        <v>0</v>
      </c>
      <c r="M221">
        <f t="shared" si="17"/>
        <v>0</v>
      </c>
      <c r="N221">
        <f t="shared" si="18"/>
        <v>0</v>
      </c>
    </row>
    <row r="222" spans="4:14" x14ac:dyDescent="0.25">
      <c r="D222">
        <f t="shared" si="14"/>
        <v>0</v>
      </c>
      <c r="I222">
        <f t="shared" si="15"/>
        <v>0</v>
      </c>
      <c r="L222">
        <f t="shared" si="16"/>
        <v>0</v>
      </c>
      <c r="M222">
        <f t="shared" si="17"/>
        <v>0</v>
      </c>
      <c r="N222">
        <f t="shared" si="18"/>
        <v>0</v>
      </c>
    </row>
    <row r="223" spans="4:14" x14ac:dyDescent="0.25">
      <c r="D223">
        <f t="shared" si="14"/>
        <v>0</v>
      </c>
      <c r="I223">
        <f t="shared" si="15"/>
        <v>0</v>
      </c>
      <c r="L223">
        <f t="shared" si="16"/>
        <v>0</v>
      </c>
      <c r="M223">
        <f t="shared" si="17"/>
        <v>0</v>
      </c>
      <c r="N223">
        <f t="shared" si="18"/>
        <v>0</v>
      </c>
    </row>
    <row r="224" spans="4:14" x14ac:dyDescent="0.25">
      <c r="D224">
        <f t="shared" si="14"/>
        <v>0</v>
      </c>
      <c r="I224">
        <f t="shared" si="15"/>
        <v>0</v>
      </c>
      <c r="L224">
        <f t="shared" si="16"/>
        <v>0</v>
      </c>
      <c r="M224">
        <f t="shared" si="17"/>
        <v>0</v>
      </c>
      <c r="N224">
        <f t="shared" si="18"/>
        <v>0</v>
      </c>
    </row>
    <row r="225" spans="4:14" x14ac:dyDescent="0.25">
      <c r="D225">
        <f t="shared" si="14"/>
        <v>0</v>
      </c>
      <c r="I225">
        <f t="shared" si="15"/>
        <v>0</v>
      </c>
      <c r="L225">
        <f t="shared" si="16"/>
        <v>0</v>
      </c>
      <c r="M225">
        <f t="shared" si="17"/>
        <v>0</v>
      </c>
      <c r="N225">
        <f t="shared" si="18"/>
        <v>0</v>
      </c>
    </row>
    <row r="226" spans="4:14" x14ac:dyDescent="0.25">
      <c r="D226">
        <f t="shared" si="14"/>
        <v>0</v>
      </c>
      <c r="I226">
        <f t="shared" si="15"/>
        <v>0</v>
      </c>
      <c r="L226">
        <f t="shared" si="16"/>
        <v>0</v>
      </c>
      <c r="M226">
        <f t="shared" si="17"/>
        <v>0</v>
      </c>
      <c r="N226">
        <f t="shared" si="18"/>
        <v>0</v>
      </c>
    </row>
    <row r="227" spans="4:14" x14ac:dyDescent="0.25">
      <c r="D227">
        <f t="shared" si="14"/>
        <v>0</v>
      </c>
      <c r="I227">
        <f t="shared" si="15"/>
        <v>0</v>
      </c>
      <c r="L227">
        <f t="shared" si="16"/>
        <v>0</v>
      </c>
      <c r="M227">
        <f t="shared" si="17"/>
        <v>0</v>
      </c>
      <c r="N227">
        <f t="shared" si="18"/>
        <v>0</v>
      </c>
    </row>
    <row r="228" spans="4:14" x14ac:dyDescent="0.25">
      <c r="D228">
        <f t="shared" si="14"/>
        <v>0</v>
      </c>
      <c r="I228">
        <f t="shared" si="15"/>
        <v>0</v>
      </c>
      <c r="L228">
        <f t="shared" si="16"/>
        <v>0</v>
      </c>
      <c r="M228">
        <f t="shared" si="17"/>
        <v>0</v>
      </c>
      <c r="N228">
        <f t="shared" si="18"/>
        <v>0</v>
      </c>
    </row>
    <row r="229" spans="4:14" x14ac:dyDescent="0.25">
      <c r="D229">
        <f t="shared" si="14"/>
        <v>0</v>
      </c>
      <c r="I229">
        <f t="shared" si="15"/>
        <v>0</v>
      </c>
      <c r="L229">
        <f t="shared" si="16"/>
        <v>0</v>
      </c>
      <c r="M229">
        <f t="shared" si="17"/>
        <v>0</v>
      </c>
      <c r="N229">
        <f t="shared" si="18"/>
        <v>0</v>
      </c>
    </row>
    <row r="230" spans="4:14" x14ac:dyDescent="0.25">
      <c r="D230">
        <f t="shared" si="14"/>
        <v>0</v>
      </c>
      <c r="I230">
        <f t="shared" si="15"/>
        <v>0</v>
      </c>
      <c r="L230">
        <f t="shared" si="16"/>
        <v>0</v>
      </c>
      <c r="M230">
        <f t="shared" si="17"/>
        <v>0</v>
      </c>
      <c r="N230">
        <f t="shared" si="18"/>
        <v>0</v>
      </c>
    </row>
    <row r="231" spans="4:14" x14ac:dyDescent="0.25">
      <c r="D231">
        <f t="shared" si="14"/>
        <v>0</v>
      </c>
      <c r="I231">
        <f t="shared" si="15"/>
        <v>0</v>
      </c>
      <c r="L231">
        <f t="shared" si="16"/>
        <v>0</v>
      </c>
      <c r="M231">
        <f t="shared" si="17"/>
        <v>0</v>
      </c>
      <c r="N231">
        <f t="shared" si="18"/>
        <v>0</v>
      </c>
    </row>
    <row r="232" spans="4:14" x14ac:dyDescent="0.25">
      <c r="D232">
        <f t="shared" si="14"/>
        <v>0</v>
      </c>
      <c r="I232">
        <f t="shared" si="15"/>
        <v>0</v>
      </c>
      <c r="L232">
        <f t="shared" si="16"/>
        <v>0</v>
      </c>
      <c r="M232">
        <f t="shared" si="17"/>
        <v>0</v>
      </c>
      <c r="N232">
        <f t="shared" si="18"/>
        <v>0</v>
      </c>
    </row>
    <row r="233" spans="4:14" x14ac:dyDescent="0.25">
      <c r="D233">
        <f t="shared" si="14"/>
        <v>0</v>
      </c>
      <c r="I233">
        <f t="shared" si="15"/>
        <v>0</v>
      </c>
      <c r="L233">
        <f t="shared" si="16"/>
        <v>0</v>
      </c>
      <c r="M233">
        <f t="shared" si="17"/>
        <v>0</v>
      </c>
      <c r="N233">
        <f t="shared" si="18"/>
        <v>0</v>
      </c>
    </row>
    <row r="234" spans="4:14" x14ac:dyDescent="0.25">
      <c r="D234">
        <f t="shared" ref="D234:D297" si="19">B234-C234</f>
        <v>0</v>
      </c>
      <c r="I234">
        <f t="shared" ref="I234:I297" si="20">E234+F234+G234+H234</f>
        <v>0</v>
      </c>
      <c r="L234">
        <f t="shared" ref="L234:L297" si="21">J234-K234</f>
        <v>0</v>
      </c>
      <c r="M234">
        <f t="shared" si="17"/>
        <v>0</v>
      </c>
      <c r="N234">
        <f t="shared" si="18"/>
        <v>0</v>
      </c>
    </row>
    <row r="235" spans="4:14" x14ac:dyDescent="0.25">
      <c r="D235">
        <f t="shared" si="19"/>
        <v>0</v>
      </c>
      <c r="I235">
        <f t="shared" si="20"/>
        <v>0</v>
      </c>
      <c r="L235">
        <f t="shared" si="21"/>
        <v>0</v>
      </c>
      <c r="M235">
        <f t="shared" ref="M235:M298" si="22">D235+L235</f>
        <v>0</v>
      </c>
      <c r="N235">
        <f t="shared" ref="N235:N298" si="23">I235-M235</f>
        <v>0</v>
      </c>
    </row>
    <row r="236" spans="4:14" x14ac:dyDescent="0.25">
      <c r="D236">
        <f t="shared" si="19"/>
        <v>0</v>
      </c>
      <c r="I236">
        <f t="shared" si="20"/>
        <v>0</v>
      </c>
      <c r="L236">
        <f t="shared" si="21"/>
        <v>0</v>
      </c>
      <c r="M236">
        <f t="shared" si="22"/>
        <v>0</v>
      </c>
      <c r="N236">
        <f t="shared" si="23"/>
        <v>0</v>
      </c>
    </row>
    <row r="237" spans="4:14" x14ac:dyDescent="0.25">
      <c r="D237">
        <f t="shared" si="19"/>
        <v>0</v>
      </c>
      <c r="I237">
        <f t="shared" si="20"/>
        <v>0</v>
      </c>
      <c r="L237">
        <f t="shared" si="21"/>
        <v>0</v>
      </c>
      <c r="M237">
        <f t="shared" si="22"/>
        <v>0</v>
      </c>
      <c r="N237">
        <f t="shared" si="23"/>
        <v>0</v>
      </c>
    </row>
    <row r="238" spans="4:14" x14ac:dyDescent="0.25">
      <c r="D238">
        <f t="shared" si="19"/>
        <v>0</v>
      </c>
      <c r="I238">
        <f t="shared" si="20"/>
        <v>0</v>
      </c>
      <c r="L238">
        <f t="shared" si="21"/>
        <v>0</v>
      </c>
      <c r="M238">
        <f t="shared" si="22"/>
        <v>0</v>
      </c>
      <c r="N238">
        <f t="shared" si="23"/>
        <v>0</v>
      </c>
    </row>
    <row r="239" spans="4:14" x14ac:dyDescent="0.25">
      <c r="D239">
        <f t="shared" si="19"/>
        <v>0</v>
      </c>
      <c r="I239">
        <f t="shared" si="20"/>
        <v>0</v>
      </c>
      <c r="L239">
        <f t="shared" si="21"/>
        <v>0</v>
      </c>
      <c r="M239">
        <f t="shared" si="22"/>
        <v>0</v>
      </c>
      <c r="N239">
        <f t="shared" si="23"/>
        <v>0</v>
      </c>
    </row>
    <row r="240" spans="4:14" x14ac:dyDescent="0.25">
      <c r="D240">
        <f t="shared" si="19"/>
        <v>0</v>
      </c>
      <c r="I240">
        <f t="shared" si="20"/>
        <v>0</v>
      </c>
      <c r="L240">
        <f t="shared" si="21"/>
        <v>0</v>
      </c>
      <c r="M240">
        <f t="shared" si="22"/>
        <v>0</v>
      </c>
      <c r="N240">
        <f t="shared" si="23"/>
        <v>0</v>
      </c>
    </row>
    <row r="241" spans="4:14" x14ac:dyDescent="0.25">
      <c r="D241">
        <f t="shared" si="19"/>
        <v>0</v>
      </c>
      <c r="I241">
        <f t="shared" si="20"/>
        <v>0</v>
      </c>
      <c r="L241">
        <f t="shared" si="21"/>
        <v>0</v>
      </c>
      <c r="M241">
        <f t="shared" si="22"/>
        <v>0</v>
      </c>
      <c r="N241">
        <f t="shared" si="23"/>
        <v>0</v>
      </c>
    </row>
    <row r="242" spans="4:14" x14ac:dyDescent="0.25">
      <c r="D242">
        <f t="shared" si="19"/>
        <v>0</v>
      </c>
      <c r="I242">
        <f t="shared" si="20"/>
        <v>0</v>
      </c>
      <c r="L242">
        <f t="shared" si="21"/>
        <v>0</v>
      </c>
      <c r="M242">
        <f t="shared" si="22"/>
        <v>0</v>
      </c>
      <c r="N242">
        <f t="shared" si="23"/>
        <v>0</v>
      </c>
    </row>
    <row r="243" spans="4:14" x14ac:dyDescent="0.25">
      <c r="D243">
        <f t="shared" si="19"/>
        <v>0</v>
      </c>
      <c r="I243">
        <f t="shared" si="20"/>
        <v>0</v>
      </c>
      <c r="L243">
        <f t="shared" si="21"/>
        <v>0</v>
      </c>
      <c r="M243">
        <f t="shared" si="22"/>
        <v>0</v>
      </c>
      <c r="N243">
        <f t="shared" si="23"/>
        <v>0</v>
      </c>
    </row>
    <row r="244" spans="4:14" x14ac:dyDescent="0.25">
      <c r="D244">
        <f t="shared" si="19"/>
        <v>0</v>
      </c>
      <c r="I244">
        <f t="shared" si="20"/>
        <v>0</v>
      </c>
      <c r="L244">
        <f t="shared" si="21"/>
        <v>0</v>
      </c>
      <c r="M244">
        <f t="shared" si="22"/>
        <v>0</v>
      </c>
      <c r="N244">
        <f t="shared" si="23"/>
        <v>0</v>
      </c>
    </row>
    <row r="245" spans="4:14" x14ac:dyDescent="0.25">
      <c r="D245">
        <f t="shared" si="19"/>
        <v>0</v>
      </c>
      <c r="I245">
        <f t="shared" si="20"/>
        <v>0</v>
      </c>
      <c r="L245">
        <f t="shared" si="21"/>
        <v>0</v>
      </c>
      <c r="M245">
        <f t="shared" si="22"/>
        <v>0</v>
      </c>
      <c r="N245">
        <f t="shared" si="23"/>
        <v>0</v>
      </c>
    </row>
    <row r="246" spans="4:14" x14ac:dyDescent="0.25">
      <c r="D246">
        <f t="shared" si="19"/>
        <v>0</v>
      </c>
      <c r="I246">
        <f t="shared" si="20"/>
        <v>0</v>
      </c>
      <c r="L246">
        <f t="shared" si="21"/>
        <v>0</v>
      </c>
      <c r="M246">
        <f t="shared" si="22"/>
        <v>0</v>
      </c>
      <c r="N246">
        <f t="shared" si="23"/>
        <v>0</v>
      </c>
    </row>
    <row r="247" spans="4:14" x14ac:dyDescent="0.25">
      <c r="D247">
        <f t="shared" si="19"/>
        <v>0</v>
      </c>
      <c r="I247">
        <f t="shared" si="20"/>
        <v>0</v>
      </c>
      <c r="L247">
        <f t="shared" si="21"/>
        <v>0</v>
      </c>
      <c r="M247">
        <f t="shared" si="22"/>
        <v>0</v>
      </c>
      <c r="N247">
        <f t="shared" si="23"/>
        <v>0</v>
      </c>
    </row>
    <row r="248" spans="4:14" x14ac:dyDescent="0.25">
      <c r="D248">
        <f t="shared" si="19"/>
        <v>0</v>
      </c>
      <c r="I248">
        <f t="shared" si="20"/>
        <v>0</v>
      </c>
      <c r="L248">
        <f t="shared" si="21"/>
        <v>0</v>
      </c>
      <c r="M248">
        <f t="shared" si="22"/>
        <v>0</v>
      </c>
      <c r="N248">
        <f t="shared" si="23"/>
        <v>0</v>
      </c>
    </row>
    <row r="249" spans="4:14" x14ac:dyDescent="0.25">
      <c r="D249">
        <f t="shared" si="19"/>
        <v>0</v>
      </c>
      <c r="I249">
        <f t="shared" si="20"/>
        <v>0</v>
      </c>
      <c r="L249">
        <f t="shared" si="21"/>
        <v>0</v>
      </c>
      <c r="M249">
        <f t="shared" si="22"/>
        <v>0</v>
      </c>
      <c r="N249">
        <f t="shared" si="23"/>
        <v>0</v>
      </c>
    </row>
    <row r="250" spans="4:14" x14ac:dyDescent="0.25">
      <c r="D250">
        <f t="shared" si="19"/>
        <v>0</v>
      </c>
      <c r="I250">
        <f t="shared" si="20"/>
        <v>0</v>
      </c>
      <c r="L250">
        <f t="shared" si="21"/>
        <v>0</v>
      </c>
      <c r="M250">
        <f t="shared" si="22"/>
        <v>0</v>
      </c>
      <c r="N250">
        <f t="shared" si="23"/>
        <v>0</v>
      </c>
    </row>
    <row r="251" spans="4:14" x14ac:dyDescent="0.25">
      <c r="D251">
        <f t="shared" si="19"/>
        <v>0</v>
      </c>
      <c r="I251">
        <f t="shared" si="20"/>
        <v>0</v>
      </c>
      <c r="L251">
        <f t="shared" si="21"/>
        <v>0</v>
      </c>
      <c r="M251">
        <f t="shared" si="22"/>
        <v>0</v>
      </c>
      <c r="N251">
        <f t="shared" si="23"/>
        <v>0</v>
      </c>
    </row>
    <row r="252" spans="4:14" x14ac:dyDescent="0.25">
      <c r="D252">
        <f t="shared" si="19"/>
        <v>0</v>
      </c>
      <c r="I252">
        <f t="shared" si="20"/>
        <v>0</v>
      </c>
      <c r="L252">
        <f t="shared" si="21"/>
        <v>0</v>
      </c>
      <c r="M252">
        <f t="shared" si="22"/>
        <v>0</v>
      </c>
      <c r="N252">
        <f t="shared" si="23"/>
        <v>0</v>
      </c>
    </row>
    <row r="253" spans="4:14" x14ac:dyDescent="0.25">
      <c r="D253">
        <f t="shared" si="19"/>
        <v>0</v>
      </c>
      <c r="I253">
        <f t="shared" si="20"/>
        <v>0</v>
      </c>
      <c r="L253">
        <f t="shared" si="21"/>
        <v>0</v>
      </c>
      <c r="M253">
        <f t="shared" si="22"/>
        <v>0</v>
      </c>
      <c r="N253">
        <f t="shared" si="23"/>
        <v>0</v>
      </c>
    </row>
    <row r="254" spans="4:14" x14ac:dyDescent="0.25">
      <c r="D254">
        <f t="shared" si="19"/>
        <v>0</v>
      </c>
      <c r="I254">
        <f t="shared" si="20"/>
        <v>0</v>
      </c>
      <c r="L254">
        <f t="shared" si="21"/>
        <v>0</v>
      </c>
      <c r="M254">
        <f t="shared" si="22"/>
        <v>0</v>
      </c>
      <c r="N254">
        <f t="shared" si="23"/>
        <v>0</v>
      </c>
    </row>
    <row r="255" spans="4:14" x14ac:dyDescent="0.25">
      <c r="D255">
        <f t="shared" si="19"/>
        <v>0</v>
      </c>
      <c r="I255">
        <f t="shared" si="20"/>
        <v>0</v>
      </c>
      <c r="L255">
        <f t="shared" si="21"/>
        <v>0</v>
      </c>
      <c r="M255">
        <f t="shared" si="22"/>
        <v>0</v>
      </c>
      <c r="N255">
        <f t="shared" si="23"/>
        <v>0</v>
      </c>
    </row>
    <row r="256" spans="4:14" x14ac:dyDescent="0.25">
      <c r="D256">
        <f t="shared" si="19"/>
        <v>0</v>
      </c>
      <c r="I256">
        <f t="shared" si="20"/>
        <v>0</v>
      </c>
      <c r="L256">
        <f t="shared" si="21"/>
        <v>0</v>
      </c>
      <c r="M256">
        <f t="shared" si="22"/>
        <v>0</v>
      </c>
      <c r="N256">
        <f t="shared" si="23"/>
        <v>0</v>
      </c>
    </row>
    <row r="257" spans="4:14" x14ac:dyDescent="0.25">
      <c r="D257">
        <f t="shared" si="19"/>
        <v>0</v>
      </c>
      <c r="I257">
        <f t="shared" si="20"/>
        <v>0</v>
      </c>
      <c r="L257">
        <f t="shared" si="21"/>
        <v>0</v>
      </c>
      <c r="M257">
        <f t="shared" si="22"/>
        <v>0</v>
      </c>
      <c r="N257">
        <f t="shared" si="23"/>
        <v>0</v>
      </c>
    </row>
    <row r="258" spans="4:14" x14ac:dyDescent="0.25">
      <c r="D258">
        <f t="shared" si="19"/>
        <v>0</v>
      </c>
      <c r="I258">
        <f t="shared" si="20"/>
        <v>0</v>
      </c>
      <c r="L258">
        <f t="shared" si="21"/>
        <v>0</v>
      </c>
      <c r="M258">
        <f t="shared" si="22"/>
        <v>0</v>
      </c>
      <c r="N258">
        <f t="shared" si="23"/>
        <v>0</v>
      </c>
    </row>
    <row r="259" spans="4:14" x14ac:dyDescent="0.25">
      <c r="D259">
        <f t="shared" si="19"/>
        <v>0</v>
      </c>
      <c r="I259">
        <f t="shared" si="20"/>
        <v>0</v>
      </c>
      <c r="L259">
        <f t="shared" si="21"/>
        <v>0</v>
      </c>
      <c r="M259">
        <f t="shared" si="22"/>
        <v>0</v>
      </c>
      <c r="N259">
        <f t="shared" si="23"/>
        <v>0</v>
      </c>
    </row>
    <row r="260" spans="4:14" x14ac:dyDescent="0.25">
      <c r="D260">
        <f t="shared" si="19"/>
        <v>0</v>
      </c>
      <c r="I260">
        <f t="shared" si="20"/>
        <v>0</v>
      </c>
      <c r="L260">
        <f t="shared" si="21"/>
        <v>0</v>
      </c>
      <c r="M260">
        <f t="shared" si="22"/>
        <v>0</v>
      </c>
      <c r="N260">
        <f t="shared" si="23"/>
        <v>0</v>
      </c>
    </row>
    <row r="261" spans="4:14" x14ac:dyDescent="0.25">
      <c r="D261">
        <f t="shared" si="19"/>
        <v>0</v>
      </c>
      <c r="I261">
        <f t="shared" si="20"/>
        <v>0</v>
      </c>
      <c r="L261">
        <f t="shared" si="21"/>
        <v>0</v>
      </c>
      <c r="M261">
        <f t="shared" si="22"/>
        <v>0</v>
      </c>
      <c r="N261">
        <f t="shared" si="23"/>
        <v>0</v>
      </c>
    </row>
    <row r="262" spans="4:14" x14ac:dyDescent="0.25">
      <c r="D262">
        <f t="shared" si="19"/>
        <v>0</v>
      </c>
      <c r="I262">
        <f t="shared" si="20"/>
        <v>0</v>
      </c>
      <c r="L262">
        <f t="shared" si="21"/>
        <v>0</v>
      </c>
      <c r="M262">
        <f t="shared" si="22"/>
        <v>0</v>
      </c>
      <c r="N262">
        <f t="shared" si="23"/>
        <v>0</v>
      </c>
    </row>
    <row r="263" spans="4:14" x14ac:dyDescent="0.25">
      <c r="D263">
        <f t="shared" si="19"/>
        <v>0</v>
      </c>
      <c r="I263">
        <f t="shared" si="20"/>
        <v>0</v>
      </c>
      <c r="L263">
        <f t="shared" si="21"/>
        <v>0</v>
      </c>
      <c r="M263">
        <f t="shared" si="22"/>
        <v>0</v>
      </c>
      <c r="N263">
        <f t="shared" si="23"/>
        <v>0</v>
      </c>
    </row>
    <row r="264" spans="4:14" x14ac:dyDescent="0.25">
      <c r="D264">
        <f t="shared" si="19"/>
        <v>0</v>
      </c>
      <c r="I264">
        <f t="shared" si="20"/>
        <v>0</v>
      </c>
      <c r="L264">
        <f t="shared" si="21"/>
        <v>0</v>
      </c>
      <c r="M264">
        <f t="shared" si="22"/>
        <v>0</v>
      </c>
      <c r="N264">
        <f t="shared" si="23"/>
        <v>0</v>
      </c>
    </row>
    <row r="265" spans="4:14" x14ac:dyDescent="0.25">
      <c r="D265">
        <f t="shared" si="19"/>
        <v>0</v>
      </c>
      <c r="I265">
        <f t="shared" si="20"/>
        <v>0</v>
      </c>
      <c r="L265">
        <f t="shared" si="21"/>
        <v>0</v>
      </c>
      <c r="M265">
        <f t="shared" si="22"/>
        <v>0</v>
      </c>
      <c r="N265">
        <f t="shared" si="23"/>
        <v>0</v>
      </c>
    </row>
    <row r="266" spans="4:14" x14ac:dyDescent="0.25">
      <c r="D266">
        <f t="shared" si="19"/>
        <v>0</v>
      </c>
      <c r="I266">
        <f t="shared" si="20"/>
        <v>0</v>
      </c>
      <c r="L266">
        <f t="shared" si="21"/>
        <v>0</v>
      </c>
      <c r="M266">
        <f t="shared" si="22"/>
        <v>0</v>
      </c>
      <c r="N266">
        <f t="shared" si="23"/>
        <v>0</v>
      </c>
    </row>
    <row r="267" spans="4:14" x14ac:dyDescent="0.25">
      <c r="D267">
        <f t="shared" si="19"/>
        <v>0</v>
      </c>
      <c r="I267">
        <f t="shared" si="20"/>
        <v>0</v>
      </c>
      <c r="L267">
        <f t="shared" si="21"/>
        <v>0</v>
      </c>
      <c r="M267">
        <f t="shared" si="22"/>
        <v>0</v>
      </c>
      <c r="N267">
        <f t="shared" si="23"/>
        <v>0</v>
      </c>
    </row>
    <row r="268" spans="4:14" x14ac:dyDescent="0.25">
      <c r="D268">
        <f t="shared" si="19"/>
        <v>0</v>
      </c>
      <c r="I268">
        <f t="shared" si="20"/>
        <v>0</v>
      </c>
      <c r="L268">
        <f t="shared" si="21"/>
        <v>0</v>
      </c>
      <c r="M268">
        <f t="shared" si="22"/>
        <v>0</v>
      </c>
      <c r="N268">
        <f t="shared" si="23"/>
        <v>0</v>
      </c>
    </row>
    <row r="269" spans="4:14" x14ac:dyDescent="0.25">
      <c r="D269">
        <f t="shared" si="19"/>
        <v>0</v>
      </c>
      <c r="I269">
        <f t="shared" si="20"/>
        <v>0</v>
      </c>
      <c r="L269">
        <f t="shared" si="21"/>
        <v>0</v>
      </c>
      <c r="M269">
        <f t="shared" si="22"/>
        <v>0</v>
      </c>
      <c r="N269">
        <f t="shared" si="23"/>
        <v>0</v>
      </c>
    </row>
    <row r="270" spans="4:14" x14ac:dyDescent="0.25">
      <c r="D270">
        <f t="shared" si="19"/>
        <v>0</v>
      </c>
      <c r="I270">
        <f t="shared" si="20"/>
        <v>0</v>
      </c>
      <c r="L270">
        <f t="shared" si="21"/>
        <v>0</v>
      </c>
      <c r="M270">
        <f t="shared" si="22"/>
        <v>0</v>
      </c>
      <c r="N270">
        <f t="shared" si="23"/>
        <v>0</v>
      </c>
    </row>
    <row r="271" spans="4:14" x14ac:dyDescent="0.25">
      <c r="D271">
        <f t="shared" si="19"/>
        <v>0</v>
      </c>
      <c r="I271">
        <f t="shared" si="20"/>
        <v>0</v>
      </c>
      <c r="L271">
        <f t="shared" si="21"/>
        <v>0</v>
      </c>
      <c r="M271">
        <f t="shared" si="22"/>
        <v>0</v>
      </c>
      <c r="N271">
        <f t="shared" si="23"/>
        <v>0</v>
      </c>
    </row>
    <row r="272" spans="4:14" x14ac:dyDescent="0.25">
      <c r="D272">
        <f t="shared" si="19"/>
        <v>0</v>
      </c>
      <c r="I272">
        <f t="shared" si="20"/>
        <v>0</v>
      </c>
      <c r="L272">
        <f t="shared" si="21"/>
        <v>0</v>
      </c>
      <c r="M272">
        <f t="shared" si="22"/>
        <v>0</v>
      </c>
      <c r="N272">
        <f t="shared" si="23"/>
        <v>0</v>
      </c>
    </row>
    <row r="273" spans="4:14" x14ac:dyDescent="0.25">
      <c r="D273">
        <f t="shared" si="19"/>
        <v>0</v>
      </c>
      <c r="I273">
        <f t="shared" si="20"/>
        <v>0</v>
      </c>
      <c r="L273">
        <f t="shared" si="21"/>
        <v>0</v>
      </c>
      <c r="M273">
        <f t="shared" si="22"/>
        <v>0</v>
      </c>
      <c r="N273">
        <f t="shared" si="23"/>
        <v>0</v>
      </c>
    </row>
    <row r="274" spans="4:14" x14ac:dyDescent="0.25">
      <c r="D274">
        <f t="shared" si="19"/>
        <v>0</v>
      </c>
      <c r="I274">
        <f t="shared" si="20"/>
        <v>0</v>
      </c>
      <c r="L274">
        <f t="shared" si="21"/>
        <v>0</v>
      </c>
      <c r="M274">
        <f t="shared" si="22"/>
        <v>0</v>
      </c>
      <c r="N274">
        <f t="shared" si="23"/>
        <v>0</v>
      </c>
    </row>
    <row r="275" spans="4:14" x14ac:dyDescent="0.25">
      <c r="D275">
        <f t="shared" si="19"/>
        <v>0</v>
      </c>
      <c r="I275">
        <f t="shared" si="20"/>
        <v>0</v>
      </c>
      <c r="L275">
        <f t="shared" si="21"/>
        <v>0</v>
      </c>
      <c r="M275">
        <f t="shared" si="22"/>
        <v>0</v>
      </c>
      <c r="N275">
        <f t="shared" si="23"/>
        <v>0</v>
      </c>
    </row>
    <row r="276" spans="4:14" x14ac:dyDescent="0.25">
      <c r="D276">
        <f t="shared" si="19"/>
        <v>0</v>
      </c>
      <c r="I276">
        <f t="shared" si="20"/>
        <v>0</v>
      </c>
      <c r="L276">
        <f t="shared" si="21"/>
        <v>0</v>
      </c>
      <c r="M276">
        <f t="shared" si="22"/>
        <v>0</v>
      </c>
      <c r="N276">
        <f t="shared" si="23"/>
        <v>0</v>
      </c>
    </row>
    <row r="277" spans="4:14" x14ac:dyDescent="0.25">
      <c r="D277">
        <f t="shared" si="19"/>
        <v>0</v>
      </c>
      <c r="I277">
        <f t="shared" si="20"/>
        <v>0</v>
      </c>
      <c r="L277">
        <f t="shared" si="21"/>
        <v>0</v>
      </c>
      <c r="M277">
        <f t="shared" si="22"/>
        <v>0</v>
      </c>
      <c r="N277">
        <f t="shared" si="23"/>
        <v>0</v>
      </c>
    </row>
    <row r="278" spans="4:14" x14ac:dyDescent="0.25">
      <c r="D278">
        <f t="shared" si="19"/>
        <v>0</v>
      </c>
      <c r="I278">
        <f t="shared" si="20"/>
        <v>0</v>
      </c>
      <c r="L278">
        <f t="shared" si="21"/>
        <v>0</v>
      </c>
      <c r="M278">
        <f t="shared" si="22"/>
        <v>0</v>
      </c>
      <c r="N278">
        <f t="shared" si="23"/>
        <v>0</v>
      </c>
    </row>
    <row r="279" spans="4:14" x14ac:dyDescent="0.25">
      <c r="D279">
        <f t="shared" si="19"/>
        <v>0</v>
      </c>
      <c r="I279">
        <f t="shared" si="20"/>
        <v>0</v>
      </c>
      <c r="L279">
        <f t="shared" si="21"/>
        <v>0</v>
      </c>
      <c r="M279">
        <f t="shared" si="22"/>
        <v>0</v>
      </c>
      <c r="N279">
        <f t="shared" si="23"/>
        <v>0</v>
      </c>
    </row>
    <row r="280" spans="4:14" x14ac:dyDescent="0.25">
      <c r="D280">
        <f t="shared" si="19"/>
        <v>0</v>
      </c>
      <c r="I280">
        <f t="shared" si="20"/>
        <v>0</v>
      </c>
      <c r="L280">
        <f t="shared" si="21"/>
        <v>0</v>
      </c>
      <c r="M280">
        <f t="shared" si="22"/>
        <v>0</v>
      </c>
      <c r="N280">
        <f t="shared" si="23"/>
        <v>0</v>
      </c>
    </row>
    <row r="281" spans="4:14" x14ac:dyDescent="0.25">
      <c r="D281">
        <f t="shared" si="19"/>
        <v>0</v>
      </c>
      <c r="I281">
        <f t="shared" si="20"/>
        <v>0</v>
      </c>
      <c r="L281">
        <f t="shared" si="21"/>
        <v>0</v>
      </c>
      <c r="M281">
        <f t="shared" si="22"/>
        <v>0</v>
      </c>
      <c r="N281">
        <f t="shared" si="23"/>
        <v>0</v>
      </c>
    </row>
    <row r="282" spans="4:14" x14ac:dyDescent="0.25">
      <c r="D282">
        <f t="shared" si="19"/>
        <v>0</v>
      </c>
      <c r="I282">
        <f t="shared" si="20"/>
        <v>0</v>
      </c>
      <c r="L282">
        <f t="shared" si="21"/>
        <v>0</v>
      </c>
      <c r="M282">
        <f t="shared" si="22"/>
        <v>0</v>
      </c>
      <c r="N282">
        <f t="shared" si="23"/>
        <v>0</v>
      </c>
    </row>
    <row r="283" spans="4:14" x14ac:dyDescent="0.25">
      <c r="D283">
        <f t="shared" si="19"/>
        <v>0</v>
      </c>
      <c r="I283">
        <f t="shared" si="20"/>
        <v>0</v>
      </c>
      <c r="L283">
        <f t="shared" si="21"/>
        <v>0</v>
      </c>
      <c r="M283">
        <f t="shared" si="22"/>
        <v>0</v>
      </c>
      <c r="N283">
        <f t="shared" si="23"/>
        <v>0</v>
      </c>
    </row>
    <row r="284" spans="4:14" x14ac:dyDescent="0.25">
      <c r="D284">
        <f t="shared" si="19"/>
        <v>0</v>
      </c>
      <c r="I284">
        <f t="shared" si="20"/>
        <v>0</v>
      </c>
      <c r="L284">
        <f t="shared" si="21"/>
        <v>0</v>
      </c>
      <c r="M284">
        <f t="shared" si="22"/>
        <v>0</v>
      </c>
      <c r="N284">
        <f t="shared" si="23"/>
        <v>0</v>
      </c>
    </row>
    <row r="285" spans="4:14" x14ac:dyDescent="0.25">
      <c r="D285">
        <f t="shared" si="19"/>
        <v>0</v>
      </c>
      <c r="I285">
        <f t="shared" si="20"/>
        <v>0</v>
      </c>
      <c r="L285">
        <f t="shared" si="21"/>
        <v>0</v>
      </c>
      <c r="M285">
        <f t="shared" si="22"/>
        <v>0</v>
      </c>
      <c r="N285">
        <f t="shared" si="23"/>
        <v>0</v>
      </c>
    </row>
    <row r="286" spans="4:14" x14ac:dyDescent="0.25">
      <c r="D286">
        <f t="shared" si="19"/>
        <v>0</v>
      </c>
      <c r="I286">
        <f t="shared" si="20"/>
        <v>0</v>
      </c>
      <c r="L286">
        <f t="shared" si="21"/>
        <v>0</v>
      </c>
      <c r="M286">
        <f t="shared" si="22"/>
        <v>0</v>
      </c>
      <c r="N286">
        <f t="shared" si="23"/>
        <v>0</v>
      </c>
    </row>
    <row r="287" spans="4:14" x14ac:dyDescent="0.25">
      <c r="D287">
        <f t="shared" si="19"/>
        <v>0</v>
      </c>
      <c r="I287">
        <f t="shared" si="20"/>
        <v>0</v>
      </c>
      <c r="L287">
        <f t="shared" si="21"/>
        <v>0</v>
      </c>
      <c r="M287">
        <f t="shared" si="22"/>
        <v>0</v>
      </c>
      <c r="N287">
        <f t="shared" si="23"/>
        <v>0</v>
      </c>
    </row>
    <row r="288" spans="4:14" x14ac:dyDescent="0.25">
      <c r="D288">
        <f t="shared" si="19"/>
        <v>0</v>
      </c>
      <c r="I288">
        <f t="shared" si="20"/>
        <v>0</v>
      </c>
      <c r="L288">
        <f t="shared" si="21"/>
        <v>0</v>
      </c>
      <c r="M288">
        <f t="shared" si="22"/>
        <v>0</v>
      </c>
      <c r="N288">
        <f t="shared" si="23"/>
        <v>0</v>
      </c>
    </row>
    <row r="289" spans="4:14" x14ac:dyDescent="0.25">
      <c r="D289">
        <f t="shared" si="19"/>
        <v>0</v>
      </c>
      <c r="I289">
        <f t="shared" si="20"/>
        <v>0</v>
      </c>
      <c r="L289">
        <f t="shared" si="21"/>
        <v>0</v>
      </c>
      <c r="M289">
        <f t="shared" si="22"/>
        <v>0</v>
      </c>
      <c r="N289">
        <f t="shared" si="23"/>
        <v>0</v>
      </c>
    </row>
    <row r="290" spans="4:14" x14ac:dyDescent="0.25">
      <c r="D290">
        <f t="shared" si="19"/>
        <v>0</v>
      </c>
      <c r="I290">
        <f t="shared" si="20"/>
        <v>0</v>
      </c>
      <c r="L290">
        <f t="shared" si="21"/>
        <v>0</v>
      </c>
      <c r="M290">
        <f t="shared" si="22"/>
        <v>0</v>
      </c>
      <c r="N290">
        <f t="shared" si="23"/>
        <v>0</v>
      </c>
    </row>
    <row r="291" spans="4:14" x14ac:dyDescent="0.25">
      <c r="D291">
        <f t="shared" si="19"/>
        <v>0</v>
      </c>
      <c r="I291">
        <f t="shared" si="20"/>
        <v>0</v>
      </c>
      <c r="L291">
        <f t="shared" si="21"/>
        <v>0</v>
      </c>
      <c r="M291">
        <f t="shared" si="22"/>
        <v>0</v>
      </c>
      <c r="N291">
        <f t="shared" si="23"/>
        <v>0</v>
      </c>
    </row>
    <row r="292" spans="4:14" x14ac:dyDescent="0.25">
      <c r="D292">
        <f t="shared" si="19"/>
        <v>0</v>
      </c>
      <c r="I292">
        <f t="shared" si="20"/>
        <v>0</v>
      </c>
      <c r="L292">
        <f t="shared" si="21"/>
        <v>0</v>
      </c>
      <c r="M292">
        <f t="shared" si="22"/>
        <v>0</v>
      </c>
      <c r="N292">
        <f t="shared" si="23"/>
        <v>0</v>
      </c>
    </row>
    <row r="293" spans="4:14" x14ac:dyDescent="0.25">
      <c r="D293">
        <f t="shared" si="19"/>
        <v>0</v>
      </c>
      <c r="I293">
        <f t="shared" si="20"/>
        <v>0</v>
      </c>
      <c r="L293">
        <f t="shared" si="21"/>
        <v>0</v>
      </c>
      <c r="M293">
        <f t="shared" si="22"/>
        <v>0</v>
      </c>
      <c r="N293">
        <f t="shared" si="23"/>
        <v>0</v>
      </c>
    </row>
    <row r="294" spans="4:14" x14ac:dyDescent="0.25">
      <c r="D294">
        <f t="shared" si="19"/>
        <v>0</v>
      </c>
      <c r="I294">
        <f t="shared" si="20"/>
        <v>0</v>
      </c>
      <c r="L294">
        <f t="shared" si="21"/>
        <v>0</v>
      </c>
      <c r="M294">
        <f t="shared" si="22"/>
        <v>0</v>
      </c>
      <c r="N294">
        <f t="shared" si="23"/>
        <v>0</v>
      </c>
    </row>
    <row r="295" spans="4:14" x14ac:dyDescent="0.25">
      <c r="D295">
        <f t="shared" si="19"/>
        <v>0</v>
      </c>
      <c r="I295">
        <f t="shared" si="20"/>
        <v>0</v>
      </c>
      <c r="L295">
        <f t="shared" si="21"/>
        <v>0</v>
      </c>
      <c r="M295">
        <f t="shared" si="22"/>
        <v>0</v>
      </c>
      <c r="N295">
        <f t="shared" si="23"/>
        <v>0</v>
      </c>
    </row>
    <row r="296" spans="4:14" x14ac:dyDescent="0.25">
      <c r="D296">
        <f t="shared" si="19"/>
        <v>0</v>
      </c>
      <c r="I296">
        <f t="shared" si="20"/>
        <v>0</v>
      </c>
      <c r="L296">
        <f t="shared" si="21"/>
        <v>0</v>
      </c>
      <c r="M296">
        <f t="shared" si="22"/>
        <v>0</v>
      </c>
      <c r="N296">
        <f t="shared" si="23"/>
        <v>0</v>
      </c>
    </row>
    <row r="297" spans="4:14" x14ac:dyDescent="0.25">
      <c r="D297">
        <f t="shared" si="19"/>
        <v>0</v>
      </c>
      <c r="I297">
        <f t="shared" si="20"/>
        <v>0</v>
      </c>
      <c r="L297">
        <f t="shared" si="21"/>
        <v>0</v>
      </c>
      <c r="M297">
        <f t="shared" si="22"/>
        <v>0</v>
      </c>
      <c r="N297">
        <f t="shared" si="23"/>
        <v>0</v>
      </c>
    </row>
    <row r="298" spans="4:14" x14ac:dyDescent="0.25">
      <c r="D298">
        <f>B298-C298</f>
        <v>0</v>
      </c>
      <c r="I298">
        <f>E298+F298+G298+H298</f>
        <v>0</v>
      </c>
      <c r="L298">
        <f>J298-K298</f>
        <v>0</v>
      </c>
      <c r="M298">
        <f t="shared" si="22"/>
        <v>0</v>
      </c>
      <c r="N298">
        <f t="shared" si="23"/>
        <v>0</v>
      </c>
    </row>
    <row r="299" spans="4:14" x14ac:dyDescent="0.25">
      <c r="D299">
        <f>B299-C299</f>
        <v>0</v>
      </c>
      <c r="I299">
        <f>E299+F299+G299+H299</f>
        <v>0</v>
      </c>
      <c r="L299">
        <f>J299-K299</f>
        <v>0</v>
      </c>
      <c r="M299">
        <f>D299+L299</f>
        <v>0</v>
      </c>
      <c r="N299">
        <f>I299-M299</f>
        <v>0</v>
      </c>
    </row>
    <row r="300" spans="4:14" x14ac:dyDescent="0.25">
      <c r="D300">
        <f>B300-C300</f>
        <v>0</v>
      </c>
      <c r="I300">
        <f>E300+F300+G300+H300</f>
        <v>0</v>
      </c>
      <c r="L300">
        <f>J300-K300</f>
        <v>0</v>
      </c>
      <c r="M300">
        <f>D300+L300</f>
        <v>0</v>
      </c>
      <c r="N300">
        <f>I300-M300</f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"/>
  <sheetViews>
    <sheetView tabSelected="1" topLeftCell="A235" workbookViewId="0">
      <selection activeCell="I256" sqref="I256"/>
    </sheetView>
  </sheetViews>
  <sheetFormatPr defaultRowHeight="15" x14ac:dyDescent="0.25"/>
  <cols>
    <col min="1" max="1" width="10.7109375" bestFit="1" customWidth="1"/>
    <col min="10" max="10" width="15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2</v>
      </c>
      <c r="I1" t="s">
        <v>3</v>
      </c>
      <c r="J1" t="s">
        <v>4</v>
      </c>
    </row>
    <row r="2" spans="1:10" x14ac:dyDescent="0.25">
      <c r="C2">
        <v>820</v>
      </c>
      <c r="E2">
        <f>C2-D2</f>
        <v>820</v>
      </c>
      <c r="J2">
        <v>1620</v>
      </c>
    </row>
    <row r="3" spans="1:10" x14ac:dyDescent="0.25">
      <c r="A3" s="1">
        <v>45530</v>
      </c>
      <c r="B3">
        <v>7000</v>
      </c>
      <c r="C3">
        <v>7820</v>
      </c>
      <c r="E3">
        <f>C3-D3</f>
        <v>7820</v>
      </c>
      <c r="G3">
        <v>3000</v>
      </c>
      <c r="H3">
        <f>J2+G3</f>
        <v>4620</v>
      </c>
      <c r="J3">
        <f>H3-I3</f>
        <v>4620</v>
      </c>
    </row>
    <row r="4" spans="1:10" x14ac:dyDescent="0.25">
      <c r="A4" s="1">
        <v>45531</v>
      </c>
      <c r="D4">
        <v>918.9</v>
      </c>
      <c r="E4">
        <f>E3-D4</f>
        <v>6901.1</v>
      </c>
      <c r="I4">
        <v>150.22</v>
      </c>
      <c r="J4">
        <f>J3-I4</f>
        <v>4469.78</v>
      </c>
    </row>
    <row r="5" spans="1:10" x14ac:dyDescent="0.25">
      <c r="A5" s="1">
        <v>45532</v>
      </c>
      <c r="D5">
        <v>346.5</v>
      </c>
      <c r="E5">
        <f t="shared" ref="E5:E68" si="0">E4-D5</f>
        <v>6554.6</v>
      </c>
      <c r="I5">
        <v>153.19999999999999</v>
      </c>
      <c r="J5">
        <f t="shared" ref="J5:J68" si="1">J4-I5</f>
        <v>4316.58</v>
      </c>
    </row>
    <row r="6" spans="1:10" x14ac:dyDescent="0.25">
      <c r="A6" s="2">
        <v>45533</v>
      </c>
      <c r="D6">
        <v>464.2</v>
      </c>
      <c r="E6">
        <f t="shared" si="0"/>
        <v>6090.4000000000005</v>
      </c>
      <c r="I6">
        <v>162.12</v>
      </c>
      <c r="J6">
        <f t="shared" si="1"/>
        <v>4154.46</v>
      </c>
    </row>
    <row r="7" spans="1:10" x14ac:dyDescent="0.25">
      <c r="A7" s="2">
        <v>45565</v>
      </c>
      <c r="D7">
        <v>442.55</v>
      </c>
      <c r="E7">
        <f t="shared" si="0"/>
        <v>5647.85</v>
      </c>
      <c r="I7">
        <v>129.33000000000001</v>
      </c>
      <c r="J7">
        <f t="shared" si="1"/>
        <v>4025.13</v>
      </c>
    </row>
    <row r="8" spans="1:10" x14ac:dyDescent="0.25">
      <c r="A8" s="2">
        <v>45535</v>
      </c>
      <c r="D8">
        <v>552</v>
      </c>
      <c r="E8">
        <f t="shared" si="0"/>
        <v>5095.8500000000004</v>
      </c>
      <c r="I8">
        <v>101.78</v>
      </c>
      <c r="J8">
        <f t="shared" si="1"/>
        <v>3923.35</v>
      </c>
    </row>
    <row r="9" spans="1:10" x14ac:dyDescent="0.25">
      <c r="A9" s="2">
        <v>45536</v>
      </c>
      <c r="D9">
        <v>386.71</v>
      </c>
      <c r="E9">
        <f t="shared" si="0"/>
        <v>4709.1400000000003</v>
      </c>
      <c r="I9">
        <v>118.76</v>
      </c>
      <c r="J9">
        <f t="shared" si="1"/>
        <v>3804.5899999999997</v>
      </c>
    </row>
    <row r="10" spans="1:10" x14ac:dyDescent="0.25">
      <c r="A10" s="2">
        <v>45537</v>
      </c>
      <c r="D10">
        <v>421.9</v>
      </c>
      <c r="E10">
        <f t="shared" si="0"/>
        <v>4287.2400000000007</v>
      </c>
      <c r="I10">
        <v>258.44</v>
      </c>
      <c r="J10">
        <f t="shared" si="1"/>
        <v>3546.1499999999996</v>
      </c>
    </row>
    <row r="11" spans="1:10" x14ac:dyDescent="0.25">
      <c r="A11" s="2">
        <v>45538</v>
      </c>
      <c r="D11">
        <v>818.97</v>
      </c>
      <c r="E11">
        <f t="shared" si="0"/>
        <v>3468.2700000000004</v>
      </c>
      <c r="I11">
        <v>64.8</v>
      </c>
      <c r="J11">
        <f t="shared" si="1"/>
        <v>3481.3499999999995</v>
      </c>
    </row>
    <row r="12" spans="1:10" x14ac:dyDescent="0.25">
      <c r="A12" s="2">
        <v>45539</v>
      </c>
      <c r="D12">
        <v>338.57</v>
      </c>
      <c r="E12">
        <f t="shared" si="0"/>
        <v>3129.7000000000003</v>
      </c>
      <c r="I12">
        <v>155.69999999999999</v>
      </c>
      <c r="J12">
        <f t="shared" si="1"/>
        <v>3325.6499999999996</v>
      </c>
    </row>
    <row r="13" spans="1:10" x14ac:dyDescent="0.25">
      <c r="A13" s="2">
        <v>45540</v>
      </c>
      <c r="D13">
        <v>315.48</v>
      </c>
      <c r="E13">
        <f t="shared" si="0"/>
        <v>2814.2200000000003</v>
      </c>
      <c r="I13">
        <v>107.717</v>
      </c>
      <c r="J13">
        <f t="shared" si="1"/>
        <v>3217.9329999999995</v>
      </c>
    </row>
    <row r="14" spans="1:10" x14ac:dyDescent="0.25">
      <c r="A14" s="2">
        <v>45541</v>
      </c>
      <c r="D14">
        <v>230</v>
      </c>
      <c r="E14">
        <f t="shared" si="0"/>
        <v>2584.2200000000003</v>
      </c>
      <c r="I14">
        <v>106.11</v>
      </c>
      <c r="J14">
        <f t="shared" si="1"/>
        <v>3111.8229999999994</v>
      </c>
    </row>
    <row r="15" spans="1:10" x14ac:dyDescent="0.25">
      <c r="A15" s="2">
        <v>45541</v>
      </c>
      <c r="B15">
        <v>7000</v>
      </c>
      <c r="E15">
        <v>9584.2199999999993</v>
      </c>
      <c r="J15">
        <f t="shared" si="1"/>
        <v>3111.8229999999994</v>
      </c>
    </row>
    <row r="16" spans="1:10" x14ac:dyDescent="0.25">
      <c r="A16" s="2">
        <v>45541</v>
      </c>
      <c r="D16">
        <v>165.21</v>
      </c>
      <c r="E16">
        <f t="shared" si="0"/>
        <v>9419.01</v>
      </c>
      <c r="J16">
        <f t="shared" si="1"/>
        <v>3111.8229999999994</v>
      </c>
    </row>
    <row r="17" spans="1:10" x14ac:dyDescent="0.25">
      <c r="A17" s="2">
        <v>45542</v>
      </c>
      <c r="D17">
        <v>422.78</v>
      </c>
      <c r="E17">
        <f t="shared" si="0"/>
        <v>8996.23</v>
      </c>
      <c r="I17">
        <v>57.8</v>
      </c>
      <c r="J17">
        <f t="shared" si="1"/>
        <v>3054.0229999999992</v>
      </c>
    </row>
    <row r="18" spans="1:10" x14ac:dyDescent="0.25">
      <c r="A18" s="2">
        <v>45543</v>
      </c>
      <c r="D18">
        <v>368.89</v>
      </c>
      <c r="E18">
        <f t="shared" si="0"/>
        <v>8627.34</v>
      </c>
      <c r="I18">
        <v>79.16</v>
      </c>
      <c r="J18">
        <f t="shared" si="1"/>
        <v>2974.8629999999994</v>
      </c>
    </row>
    <row r="19" spans="1:10" x14ac:dyDescent="0.25">
      <c r="A19" s="2">
        <v>45544</v>
      </c>
      <c r="D19">
        <v>371.95</v>
      </c>
      <c r="E19">
        <f t="shared" si="0"/>
        <v>8255.39</v>
      </c>
      <c r="I19">
        <v>158.44999999999999</v>
      </c>
      <c r="J19">
        <f t="shared" si="1"/>
        <v>2816.4129999999996</v>
      </c>
    </row>
    <row r="20" spans="1:10" x14ac:dyDescent="0.25">
      <c r="A20" s="2">
        <v>45545</v>
      </c>
      <c r="D20">
        <v>593.29999999999995</v>
      </c>
      <c r="E20">
        <f t="shared" si="0"/>
        <v>7662.0899999999992</v>
      </c>
      <c r="I20">
        <v>134.13999999999999</v>
      </c>
      <c r="J20">
        <f t="shared" si="1"/>
        <v>2682.2729999999997</v>
      </c>
    </row>
    <row r="21" spans="1:10" x14ac:dyDescent="0.25">
      <c r="A21" s="2">
        <v>45546</v>
      </c>
      <c r="D21">
        <v>299.10000000000002</v>
      </c>
      <c r="E21">
        <f t="shared" si="0"/>
        <v>7362.9899999999989</v>
      </c>
      <c r="I21">
        <v>109.29</v>
      </c>
      <c r="J21">
        <f t="shared" si="1"/>
        <v>2572.9829999999997</v>
      </c>
    </row>
    <row r="22" spans="1:10" x14ac:dyDescent="0.25">
      <c r="A22" s="2">
        <v>45547</v>
      </c>
      <c r="D22">
        <v>352.1</v>
      </c>
      <c r="E22">
        <f t="shared" si="0"/>
        <v>7010.8899999999985</v>
      </c>
      <c r="I22">
        <v>104.11</v>
      </c>
      <c r="J22">
        <f t="shared" si="1"/>
        <v>2468.8729999999996</v>
      </c>
    </row>
    <row r="23" spans="1:10" x14ac:dyDescent="0.25">
      <c r="A23" s="2">
        <v>45548</v>
      </c>
      <c r="D23">
        <v>360.94</v>
      </c>
      <c r="E23">
        <f t="shared" si="0"/>
        <v>6649.9499999999989</v>
      </c>
      <c r="I23">
        <v>147.31700000000001</v>
      </c>
      <c r="J23">
        <f t="shared" si="1"/>
        <v>2321.5559999999996</v>
      </c>
    </row>
    <row r="24" spans="1:10" x14ac:dyDescent="0.25">
      <c r="A24" s="2">
        <v>45549</v>
      </c>
      <c r="D24">
        <v>569.24</v>
      </c>
      <c r="E24">
        <f t="shared" si="0"/>
        <v>6080.7099999999991</v>
      </c>
      <c r="I24">
        <v>236.483</v>
      </c>
      <c r="J24">
        <f t="shared" si="1"/>
        <v>2085.0729999999994</v>
      </c>
    </row>
    <row r="25" spans="1:10" x14ac:dyDescent="0.25">
      <c r="A25" s="2">
        <v>45550</v>
      </c>
      <c r="D25">
        <v>381.34</v>
      </c>
      <c r="E25">
        <f t="shared" si="0"/>
        <v>5699.369999999999</v>
      </c>
      <c r="I25">
        <v>117.75</v>
      </c>
      <c r="J25">
        <f t="shared" si="1"/>
        <v>1967.3229999999994</v>
      </c>
    </row>
    <row r="26" spans="1:10" x14ac:dyDescent="0.25">
      <c r="A26" s="2">
        <v>45551</v>
      </c>
      <c r="D26">
        <v>358.56</v>
      </c>
      <c r="E26">
        <f t="shared" si="0"/>
        <v>5340.8099999999986</v>
      </c>
      <c r="I26">
        <v>236.16</v>
      </c>
      <c r="J26">
        <f t="shared" si="1"/>
        <v>1731.1629999999993</v>
      </c>
    </row>
    <row r="27" spans="1:10" x14ac:dyDescent="0.25">
      <c r="A27" s="2">
        <v>45552</v>
      </c>
      <c r="D27">
        <v>459.08</v>
      </c>
      <c r="E27">
        <f t="shared" si="0"/>
        <v>4881.7299999999987</v>
      </c>
      <c r="I27">
        <v>65.319999999999993</v>
      </c>
      <c r="J27">
        <f t="shared" si="1"/>
        <v>1665.8429999999994</v>
      </c>
    </row>
    <row r="28" spans="1:10" x14ac:dyDescent="0.25">
      <c r="A28" s="2">
        <v>45553</v>
      </c>
      <c r="D28">
        <v>331.17</v>
      </c>
      <c r="E28">
        <f t="shared" si="0"/>
        <v>4550.5599999999986</v>
      </c>
      <c r="I28">
        <v>94.84</v>
      </c>
      <c r="J28">
        <f t="shared" si="1"/>
        <v>1571.0029999999995</v>
      </c>
    </row>
    <row r="29" spans="1:10" x14ac:dyDescent="0.25">
      <c r="A29" s="2">
        <v>45554</v>
      </c>
      <c r="D29">
        <v>260.10000000000002</v>
      </c>
      <c r="E29">
        <f t="shared" si="0"/>
        <v>4290.4599999999982</v>
      </c>
      <c r="I29">
        <v>71.099999999999994</v>
      </c>
      <c r="J29">
        <f t="shared" si="1"/>
        <v>1499.9029999999996</v>
      </c>
    </row>
    <row r="30" spans="1:10" x14ac:dyDescent="0.25">
      <c r="A30" s="2">
        <v>45555</v>
      </c>
      <c r="D30">
        <v>486.56</v>
      </c>
      <c r="E30">
        <f t="shared" si="0"/>
        <v>3803.8999999999983</v>
      </c>
      <c r="I30">
        <v>67.61</v>
      </c>
      <c r="J30">
        <f t="shared" si="1"/>
        <v>1432.2929999999997</v>
      </c>
    </row>
    <row r="31" spans="1:10" x14ac:dyDescent="0.25">
      <c r="A31" s="2">
        <v>45556</v>
      </c>
      <c r="D31">
        <v>625.55999999999995</v>
      </c>
      <c r="E31">
        <f t="shared" si="0"/>
        <v>3178.3399999999983</v>
      </c>
      <c r="I31">
        <v>70.540000000000006</v>
      </c>
      <c r="J31">
        <f t="shared" si="1"/>
        <v>1361.7529999999997</v>
      </c>
    </row>
    <row r="32" spans="1:10" x14ac:dyDescent="0.25">
      <c r="A32" s="2">
        <v>45557</v>
      </c>
      <c r="D32">
        <v>346.27</v>
      </c>
      <c r="E32">
        <f t="shared" si="0"/>
        <v>2832.0699999999983</v>
      </c>
      <c r="I32">
        <v>135.55000000000001</v>
      </c>
      <c r="J32">
        <f t="shared" si="1"/>
        <v>1226.2029999999997</v>
      </c>
    </row>
    <row r="33" spans="1:10" x14ac:dyDescent="0.25">
      <c r="A33" s="2">
        <v>45558</v>
      </c>
      <c r="D33">
        <v>397.82</v>
      </c>
      <c r="E33">
        <f t="shared" si="0"/>
        <v>2434.2499999999982</v>
      </c>
      <c r="I33">
        <v>48.29</v>
      </c>
      <c r="J33">
        <f t="shared" si="1"/>
        <v>1177.9129999999998</v>
      </c>
    </row>
    <row r="34" spans="1:10" x14ac:dyDescent="0.25">
      <c r="A34" s="2">
        <v>45559</v>
      </c>
      <c r="D34">
        <v>701</v>
      </c>
      <c r="E34">
        <f t="shared" si="0"/>
        <v>1733.2499999999982</v>
      </c>
      <c r="I34">
        <v>123.556</v>
      </c>
      <c r="J34">
        <f t="shared" si="1"/>
        <v>1054.3569999999997</v>
      </c>
    </row>
    <row r="35" spans="1:10" x14ac:dyDescent="0.25">
      <c r="A35" s="2">
        <v>45560</v>
      </c>
      <c r="D35">
        <v>389.6</v>
      </c>
      <c r="E35">
        <f t="shared" si="0"/>
        <v>1343.6499999999983</v>
      </c>
      <c r="I35">
        <v>123.37</v>
      </c>
      <c r="J35">
        <f t="shared" si="1"/>
        <v>930.98699999999974</v>
      </c>
    </row>
    <row r="36" spans="1:10" x14ac:dyDescent="0.25">
      <c r="A36" s="2">
        <v>45561</v>
      </c>
      <c r="D36">
        <v>271.06</v>
      </c>
      <c r="E36">
        <f t="shared" si="0"/>
        <v>1072.5899999999983</v>
      </c>
      <c r="I36">
        <v>155.43</v>
      </c>
      <c r="J36">
        <f t="shared" si="1"/>
        <v>775.55699999999979</v>
      </c>
    </row>
    <row r="37" spans="1:10" x14ac:dyDescent="0.25">
      <c r="A37" s="2">
        <v>45562</v>
      </c>
      <c r="D37">
        <v>460.61</v>
      </c>
      <c r="E37">
        <f t="shared" si="0"/>
        <v>611.97999999999831</v>
      </c>
      <c r="I37">
        <v>243.15</v>
      </c>
      <c r="J37">
        <f t="shared" si="1"/>
        <v>532.40699999999981</v>
      </c>
    </row>
    <row r="38" spans="1:10" x14ac:dyDescent="0.25">
      <c r="A38" s="2">
        <v>45563</v>
      </c>
      <c r="D38">
        <v>411.11</v>
      </c>
      <c r="E38">
        <f t="shared" si="0"/>
        <v>200.8699999999983</v>
      </c>
      <c r="I38">
        <v>108.24</v>
      </c>
      <c r="J38">
        <f t="shared" si="1"/>
        <v>424.1669999999998</v>
      </c>
    </row>
    <row r="39" spans="1:10" x14ac:dyDescent="0.25">
      <c r="A39" s="2">
        <v>45563</v>
      </c>
      <c r="B39">
        <v>2000</v>
      </c>
      <c r="E39">
        <v>3200.87</v>
      </c>
      <c r="J39">
        <f t="shared" si="1"/>
        <v>424.1669999999998</v>
      </c>
    </row>
    <row r="40" spans="1:10" x14ac:dyDescent="0.25">
      <c r="A40" s="2">
        <v>45564</v>
      </c>
      <c r="D40">
        <v>590.28</v>
      </c>
      <c r="E40">
        <f t="shared" si="0"/>
        <v>2610.59</v>
      </c>
      <c r="I40">
        <v>88.95</v>
      </c>
      <c r="J40">
        <f t="shared" si="1"/>
        <v>335.21699999999981</v>
      </c>
    </row>
    <row r="41" spans="1:10" x14ac:dyDescent="0.25">
      <c r="A41" s="2">
        <v>45565</v>
      </c>
      <c r="D41">
        <v>308.57</v>
      </c>
      <c r="E41">
        <f t="shared" si="0"/>
        <v>2302.02</v>
      </c>
      <c r="I41">
        <v>171.78</v>
      </c>
      <c r="J41">
        <f t="shared" si="1"/>
        <v>163.43699999999981</v>
      </c>
    </row>
    <row r="42" spans="1:10" x14ac:dyDescent="0.25">
      <c r="A42" s="2">
        <v>45566</v>
      </c>
      <c r="D42">
        <v>729.4</v>
      </c>
      <c r="E42">
        <f t="shared" si="0"/>
        <v>1572.62</v>
      </c>
      <c r="I42">
        <v>203.25</v>
      </c>
      <c r="J42">
        <f t="shared" si="1"/>
        <v>-39.813000000000187</v>
      </c>
    </row>
    <row r="43" spans="1:10" x14ac:dyDescent="0.25">
      <c r="A43" s="2">
        <v>45567</v>
      </c>
      <c r="D43">
        <v>231</v>
      </c>
      <c r="E43">
        <f t="shared" si="0"/>
        <v>1341.62</v>
      </c>
      <c r="I43">
        <v>97</v>
      </c>
      <c r="J43">
        <f t="shared" si="1"/>
        <v>-136.81300000000019</v>
      </c>
    </row>
    <row r="44" spans="1:10" x14ac:dyDescent="0.25">
      <c r="A44" s="2">
        <v>45568</v>
      </c>
      <c r="D44">
        <v>389</v>
      </c>
      <c r="E44">
        <f t="shared" si="0"/>
        <v>952.61999999999989</v>
      </c>
      <c r="I44">
        <v>254.55</v>
      </c>
      <c r="J44">
        <f t="shared" si="1"/>
        <v>-391.36300000000017</v>
      </c>
    </row>
    <row r="45" spans="1:10" x14ac:dyDescent="0.25">
      <c r="A45" s="2">
        <v>45569</v>
      </c>
      <c r="D45">
        <v>345.2</v>
      </c>
      <c r="E45">
        <f t="shared" si="0"/>
        <v>607.41999999999985</v>
      </c>
      <c r="I45">
        <v>122</v>
      </c>
      <c r="J45">
        <f t="shared" si="1"/>
        <v>-513.36300000000017</v>
      </c>
    </row>
    <row r="46" spans="1:10" x14ac:dyDescent="0.25">
      <c r="A46" s="2">
        <v>45570</v>
      </c>
      <c r="D46">
        <v>479.1</v>
      </c>
      <c r="E46">
        <f t="shared" si="0"/>
        <v>128.31999999999982</v>
      </c>
      <c r="I46">
        <v>164.61</v>
      </c>
      <c r="J46">
        <f t="shared" si="1"/>
        <v>-677.97300000000018</v>
      </c>
    </row>
    <row r="47" spans="1:10" x14ac:dyDescent="0.25">
      <c r="A47" s="2">
        <v>45571</v>
      </c>
      <c r="D47">
        <v>390.74</v>
      </c>
      <c r="E47">
        <f t="shared" si="0"/>
        <v>-262.42000000000019</v>
      </c>
      <c r="I47">
        <v>104.81</v>
      </c>
      <c r="J47">
        <f t="shared" si="1"/>
        <v>-782.78300000000013</v>
      </c>
    </row>
    <row r="48" spans="1:10" x14ac:dyDescent="0.25">
      <c r="A48" s="2">
        <v>45572</v>
      </c>
      <c r="D48">
        <v>411.56</v>
      </c>
      <c r="E48">
        <f t="shared" si="0"/>
        <v>-673.98000000000025</v>
      </c>
      <c r="I48">
        <v>207.6</v>
      </c>
      <c r="J48">
        <f t="shared" si="1"/>
        <v>-990.38300000000015</v>
      </c>
    </row>
    <row r="49" spans="1:10" x14ac:dyDescent="0.25">
      <c r="A49" s="2">
        <v>45573</v>
      </c>
      <c r="D49">
        <v>840.6</v>
      </c>
      <c r="E49">
        <f t="shared" si="0"/>
        <v>-1514.5800000000004</v>
      </c>
      <c r="I49">
        <v>104.59</v>
      </c>
      <c r="J49">
        <f t="shared" si="1"/>
        <v>-1094.9730000000002</v>
      </c>
    </row>
    <row r="50" spans="1:10" x14ac:dyDescent="0.25">
      <c r="A50" s="2">
        <v>45574</v>
      </c>
      <c r="D50">
        <v>258.72000000000003</v>
      </c>
      <c r="E50">
        <f t="shared" si="0"/>
        <v>-1773.3000000000004</v>
      </c>
      <c r="I50">
        <v>185</v>
      </c>
      <c r="J50">
        <f t="shared" si="1"/>
        <v>-1279.9730000000002</v>
      </c>
    </row>
    <row r="51" spans="1:10" x14ac:dyDescent="0.25">
      <c r="A51" s="2">
        <v>45575</v>
      </c>
      <c r="D51">
        <v>349.69</v>
      </c>
      <c r="E51">
        <f t="shared" si="0"/>
        <v>-2122.9900000000002</v>
      </c>
      <c r="I51">
        <v>185.52</v>
      </c>
      <c r="J51">
        <f t="shared" si="1"/>
        <v>-1465.4930000000002</v>
      </c>
    </row>
    <row r="52" spans="1:10" x14ac:dyDescent="0.25">
      <c r="A52" s="2">
        <v>45575</v>
      </c>
      <c r="B52">
        <v>6000</v>
      </c>
      <c r="E52">
        <v>5650.31</v>
      </c>
      <c r="G52">
        <v>2000</v>
      </c>
      <c r="J52">
        <v>1814.48</v>
      </c>
    </row>
    <row r="53" spans="1:10" x14ac:dyDescent="0.25">
      <c r="A53" s="2">
        <v>45576</v>
      </c>
      <c r="D53">
        <v>440</v>
      </c>
      <c r="E53">
        <f t="shared" si="0"/>
        <v>5210.3100000000004</v>
      </c>
      <c r="I53">
        <v>207.07</v>
      </c>
      <c r="J53">
        <f t="shared" si="1"/>
        <v>1607.41</v>
      </c>
    </row>
    <row r="54" spans="1:10" x14ac:dyDescent="0.25">
      <c r="A54" s="2">
        <v>45577</v>
      </c>
      <c r="D54">
        <v>397.19</v>
      </c>
      <c r="E54">
        <f t="shared" si="0"/>
        <v>4813.1200000000008</v>
      </c>
      <c r="I54">
        <v>143.72999999999999</v>
      </c>
      <c r="J54">
        <f t="shared" si="1"/>
        <v>1463.68</v>
      </c>
    </row>
    <row r="55" spans="1:10" x14ac:dyDescent="0.25">
      <c r="A55" s="2">
        <v>45578</v>
      </c>
      <c r="D55">
        <v>455.65</v>
      </c>
      <c r="E55">
        <f t="shared" si="0"/>
        <v>4357.4700000000012</v>
      </c>
      <c r="I55">
        <v>357.82</v>
      </c>
      <c r="J55">
        <f t="shared" si="1"/>
        <v>1105.8600000000001</v>
      </c>
    </row>
    <row r="56" spans="1:10" x14ac:dyDescent="0.25">
      <c r="A56" s="2">
        <v>45579</v>
      </c>
      <c r="D56">
        <v>320.14</v>
      </c>
      <c r="E56">
        <f t="shared" si="0"/>
        <v>4037.3300000000013</v>
      </c>
      <c r="I56">
        <v>145.56</v>
      </c>
      <c r="J56">
        <f t="shared" si="1"/>
        <v>960.30000000000018</v>
      </c>
    </row>
    <row r="57" spans="1:10" x14ac:dyDescent="0.25">
      <c r="A57" s="2">
        <v>45580</v>
      </c>
      <c r="D57">
        <v>691.55</v>
      </c>
      <c r="E57">
        <f t="shared" si="0"/>
        <v>3345.7800000000016</v>
      </c>
      <c r="I57">
        <v>143.57</v>
      </c>
      <c r="J57">
        <f t="shared" si="1"/>
        <v>816.73000000000025</v>
      </c>
    </row>
    <row r="58" spans="1:10" x14ac:dyDescent="0.25">
      <c r="A58" s="2">
        <v>45581</v>
      </c>
      <c r="D58">
        <v>453.23</v>
      </c>
      <c r="E58">
        <f t="shared" si="0"/>
        <v>2892.5500000000015</v>
      </c>
      <c r="I58">
        <v>215.3</v>
      </c>
      <c r="J58">
        <f t="shared" si="1"/>
        <v>601.43000000000029</v>
      </c>
    </row>
    <row r="59" spans="1:10" x14ac:dyDescent="0.25">
      <c r="A59" s="2">
        <v>45582</v>
      </c>
      <c r="D59">
        <v>293.85000000000002</v>
      </c>
      <c r="E59">
        <f t="shared" si="0"/>
        <v>2598.7000000000016</v>
      </c>
      <c r="I59">
        <v>5.24</v>
      </c>
      <c r="J59">
        <f t="shared" si="1"/>
        <v>596.19000000000028</v>
      </c>
    </row>
    <row r="60" spans="1:10" x14ac:dyDescent="0.25">
      <c r="A60" s="2">
        <v>45583</v>
      </c>
      <c r="D60">
        <v>340.5</v>
      </c>
      <c r="E60">
        <f t="shared" si="0"/>
        <v>2258.2000000000016</v>
      </c>
      <c r="I60">
        <v>153.38999999999999</v>
      </c>
      <c r="J60">
        <f t="shared" si="1"/>
        <v>442.8000000000003</v>
      </c>
    </row>
    <row r="61" spans="1:10" x14ac:dyDescent="0.25">
      <c r="A61" s="2">
        <v>45584</v>
      </c>
      <c r="D61">
        <v>532.94000000000005</v>
      </c>
      <c r="E61">
        <f t="shared" si="0"/>
        <v>1725.2600000000016</v>
      </c>
      <c r="I61">
        <v>124.22</v>
      </c>
      <c r="J61">
        <f t="shared" si="1"/>
        <v>318.58000000000027</v>
      </c>
    </row>
    <row r="62" spans="1:10" x14ac:dyDescent="0.25">
      <c r="B62">
        <v>3000</v>
      </c>
      <c r="E62">
        <v>4725.26</v>
      </c>
      <c r="G62">
        <v>2000</v>
      </c>
      <c r="J62">
        <v>2318.58</v>
      </c>
    </row>
    <row r="63" spans="1:10" x14ac:dyDescent="0.25">
      <c r="A63" s="2">
        <v>45585</v>
      </c>
      <c r="D63">
        <v>358.24</v>
      </c>
      <c r="E63">
        <f t="shared" si="0"/>
        <v>4367.0200000000004</v>
      </c>
      <c r="I63">
        <v>104.634</v>
      </c>
      <c r="J63">
        <f t="shared" si="1"/>
        <v>2213.9459999999999</v>
      </c>
    </row>
    <row r="64" spans="1:10" x14ac:dyDescent="0.25">
      <c r="A64" s="2">
        <v>45586</v>
      </c>
      <c r="D64">
        <v>581.64</v>
      </c>
      <c r="E64">
        <f t="shared" si="0"/>
        <v>3785.3800000000006</v>
      </c>
      <c r="I64">
        <v>102.33499999999999</v>
      </c>
      <c r="J64">
        <f t="shared" si="1"/>
        <v>2111.6109999999999</v>
      </c>
    </row>
    <row r="65" spans="1:10" x14ac:dyDescent="0.25">
      <c r="A65" s="2">
        <v>45587</v>
      </c>
      <c r="D65">
        <v>669.9</v>
      </c>
      <c r="E65">
        <f t="shared" si="0"/>
        <v>3115.4800000000005</v>
      </c>
      <c r="I65">
        <v>176.09</v>
      </c>
      <c r="J65">
        <f t="shared" si="1"/>
        <v>1935.521</v>
      </c>
    </row>
    <row r="66" spans="1:10" x14ac:dyDescent="0.25">
      <c r="A66" s="2">
        <v>45588</v>
      </c>
      <c r="D66">
        <v>380.13</v>
      </c>
      <c r="E66">
        <f t="shared" si="0"/>
        <v>2735.3500000000004</v>
      </c>
      <c r="I66">
        <v>123.599</v>
      </c>
      <c r="J66">
        <f t="shared" si="1"/>
        <v>1811.922</v>
      </c>
    </row>
    <row r="67" spans="1:10" x14ac:dyDescent="0.25">
      <c r="A67" s="2">
        <v>45589</v>
      </c>
      <c r="D67">
        <v>280.95</v>
      </c>
      <c r="E67">
        <f t="shared" si="0"/>
        <v>2454.4000000000005</v>
      </c>
      <c r="I67">
        <v>245.327</v>
      </c>
      <c r="J67">
        <f t="shared" si="1"/>
        <v>1566.595</v>
      </c>
    </row>
    <row r="68" spans="1:10" x14ac:dyDescent="0.25">
      <c r="A68" s="2">
        <v>45590</v>
      </c>
      <c r="D68">
        <v>319.89</v>
      </c>
      <c r="E68">
        <f t="shared" si="0"/>
        <v>2134.5100000000007</v>
      </c>
      <c r="I68">
        <v>182.84</v>
      </c>
      <c r="J68">
        <f t="shared" si="1"/>
        <v>1383.7550000000001</v>
      </c>
    </row>
    <row r="69" spans="1:10" x14ac:dyDescent="0.25">
      <c r="A69" s="2">
        <v>45591</v>
      </c>
      <c r="D69">
        <v>664.39</v>
      </c>
      <c r="E69">
        <f t="shared" ref="E69:E132" si="2">E68-D69</f>
        <v>1470.1200000000008</v>
      </c>
      <c r="I69">
        <v>144.04</v>
      </c>
      <c r="J69">
        <f t="shared" ref="J69:J132" si="3">J68-I69</f>
        <v>1239.7150000000001</v>
      </c>
    </row>
    <row r="70" spans="1:10" x14ac:dyDescent="0.25">
      <c r="A70" s="2">
        <v>45592</v>
      </c>
      <c r="D70">
        <v>362.31</v>
      </c>
      <c r="E70">
        <f t="shared" si="2"/>
        <v>1107.8100000000009</v>
      </c>
      <c r="I70">
        <v>32.049999999999997</v>
      </c>
      <c r="J70">
        <f t="shared" si="3"/>
        <v>1207.6650000000002</v>
      </c>
    </row>
    <row r="71" spans="1:10" x14ac:dyDescent="0.25">
      <c r="A71" s="2">
        <v>45593</v>
      </c>
      <c r="D71">
        <v>350.95</v>
      </c>
      <c r="E71">
        <f t="shared" si="2"/>
        <v>756.86000000000081</v>
      </c>
      <c r="I71">
        <v>55.6</v>
      </c>
      <c r="J71">
        <f t="shared" si="3"/>
        <v>1152.0650000000003</v>
      </c>
    </row>
    <row r="72" spans="1:10" x14ac:dyDescent="0.25">
      <c r="A72" s="2">
        <v>45594</v>
      </c>
      <c r="D72">
        <v>750.36</v>
      </c>
      <c r="E72">
        <f t="shared" si="2"/>
        <v>6.5000000000007958</v>
      </c>
      <c r="I72">
        <v>118.392</v>
      </c>
      <c r="J72">
        <f t="shared" si="3"/>
        <v>1033.6730000000002</v>
      </c>
    </row>
    <row r="73" spans="1:10" x14ac:dyDescent="0.25">
      <c r="A73" s="2">
        <v>45594</v>
      </c>
      <c r="B73">
        <v>8000</v>
      </c>
      <c r="E73">
        <v>8006.5</v>
      </c>
      <c r="G73">
        <v>2000</v>
      </c>
      <c r="J73">
        <v>3033.6729999999998</v>
      </c>
    </row>
    <row r="74" spans="1:10" x14ac:dyDescent="0.25">
      <c r="A74" s="2">
        <v>45595</v>
      </c>
      <c r="D74">
        <v>401.08</v>
      </c>
      <c r="E74">
        <f t="shared" si="2"/>
        <v>7605.42</v>
      </c>
      <c r="I74">
        <v>44.09</v>
      </c>
      <c r="J74">
        <f t="shared" si="3"/>
        <v>2989.5829999999996</v>
      </c>
    </row>
    <row r="75" spans="1:10" x14ac:dyDescent="0.25">
      <c r="A75" s="2">
        <v>45596</v>
      </c>
      <c r="D75">
        <v>295.69</v>
      </c>
      <c r="E75">
        <f t="shared" si="2"/>
        <v>7309.7300000000005</v>
      </c>
      <c r="I75">
        <v>134.75</v>
      </c>
      <c r="J75">
        <f t="shared" si="3"/>
        <v>2854.8329999999996</v>
      </c>
    </row>
    <row r="76" spans="1:10" x14ac:dyDescent="0.25">
      <c r="A76" s="2">
        <v>45597</v>
      </c>
      <c r="D76">
        <v>499.16</v>
      </c>
      <c r="E76">
        <f t="shared" si="2"/>
        <v>6810.5700000000006</v>
      </c>
      <c r="I76">
        <v>55.515000000000001</v>
      </c>
      <c r="J76">
        <f t="shared" si="3"/>
        <v>2799.3179999999998</v>
      </c>
    </row>
    <row r="77" spans="1:10" x14ac:dyDescent="0.25">
      <c r="A77" s="2">
        <v>45598</v>
      </c>
      <c r="D77">
        <v>417.35</v>
      </c>
      <c r="E77">
        <f t="shared" si="2"/>
        <v>6393.22</v>
      </c>
      <c r="I77">
        <v>71.718999999999994</v>
      </c>
      <c r="J77">
        <f t="shared" si="3"/>
        <v>2727.5989999999997</v>
      </c>
    </row>
    <row r="78" spans="1:10" x14ac:dyDescent="0.25">
      <c r="A78" s="2">
        <v>45599</v>
      </c>
      <c r="D78">
        <v>503.06</v>
      </c>
      <c r="E78">
        <f t="shared" si="2"/>
        <v>5890.16</v>
      </c>
      <c r="I78">
        <v>92.361999999999995</v>
      </c>
      <c r="J78">
        <f t="shared" si="3"/>
        <v>2635.2369999999996</v>
      </c>
    </row>
    <row r="79" spans="1:10" x14ac:dyDescent="0.25">
      <c r="A79" s="2">
        <v>45600</v>
      </c>
      <c r="D79">
        <v>474.69</v>
      </c>
      <c r="E79">
        <f t="shared" si="2"/>
        <v>5415.47</v>
      </c>
      <c r="I79">
        <v>132.75299999999999</v>
      </c>
      <c r="J79">
        <f t="shared" si="3"/>
        <v>2502.4839999999995</v>
      </c>
    </row>
    <row r="80" spans="1:10" x14ac:dyDescent="0.25">
      <c r="A80" s="2">
        <v>45601</v>
      </c>
      <c r="D80">
        <v>742.85</v>
      </c>
      <c r="E80">
        <f t="shared" si="2"/>
        <v>4672.62</v>
      </c>
      <c r="I80">
        <v>43.795000000000002</v>
      </c>
      <c r="J80">
        <f t="shared" si="3"/>
        <v>2458.6889999999994</v>
      </c>
    </row>
    <row r="81" spans="1:10" x14ac:dyDescent="0.25">
      <c r="A81" s="2">
        <v>45602</v>
      </c>
      <c r="D81">
        <v>290.39999999999998</v>
      </c>
      <c r="E81">
        <f t="shared" si="2"/>
        <v>4382.22</v>
      </c>
      <c r="I81">
        <v>108.48</v>
      </c>
      <c r="J81">
        <f t="shared" si="3"/>
        <v>2350.2089999999994</v>
      </c>
    </row>
    <row r="82" spans="1:10" x14ac:dyDescent="0.25">
      <c r="A82" s="2">
        <v>45603</v>
      </c>
      <c r="D82">
        <v>279.94</v>
      </c>
      <c r="E82">
        <f t="shared" si="2"/>
        <v>4102.2800000000007</v>
      </c>
      <c r="I82">
        <v>57.902999999999999</v>
      </c>
      <c r="J82">
        <f t="shared" si="3"/>
        <v>2292.3059999999996</v>
      </c>
    </row>
    <row r="83" spans="1:10" x14ac:dyDescent="0.25">
      <c r="A83" s="2">
        <v>45604</v>
      </c>
      <c r="D83">
        <v>368.66</v>
      </c>
      <c r="E83">
        <f t="shared" si="2"/>
        <v>3733.6200000000008</v>
      </c>
      <c r="I83">
        <v>141.71</v>
      </c>
      <c r="J83">
        <f t="shared" si="3"/>
        <v>2150.5959999999995</v>
      </c>
    </row>
    <row r="84" spans="1:10" x14ac:dyDescent="0.25">
      <c r="A84" s="2">
        <v>45605</v>
      </c>
      <c r="D84">
        <v>566.04</v>
      </c>
      <c r="E84">
        <f t="shared" si="2"/>
        <v>3167.5800000000008</v>
      </c>
      <c r="I84">
        <v>87.260999999999996</v>
      </c>
      <c r="J84">
        <f t="shared" si="3"/>
        <v>2063.3349999999996</v>
      </c>
    </row>
    <row r="85" spans="1:10" x14ac:dyDescent="0.25">
      <c r="A85" s="2">
        <v>45606</v>
      </c>
      <c r="D85">
        <v>366.9</v>
      </c>
      <c r="E85">
        <f t="shared" si="2"/>
        <v>2800.6800000000007</v>
      </c>
      <c r="I85">
        <v>7.35</v>
      </c>
      <c r="J85">
        <f t="shared" si="3"/>
        <v>2055.9849999999997</v>
      </c>
    </row>
    <row r="86" spans="1:10" x14ac:dyDescent="0.25">
      <c r="A86" s="2">
        <v>45607</v>
      </c>
      <c r="D86">
        <v>330.49</v>
      </c>
      <c r="E86">
        <f t="shared" si="2"/>
        <v>2470.1900000000005</v>
      </c>
      <c r="I86">
        <v>128.845</v>
      </c>
      <c r="J86">
        <f t="shared" si="3"/>
        <v>1927.1399999999996</v>
      </c>
    </row>
    <row r="87" spans="1:10" x14ac:dyDescent="0.25">
      <c r="A87" s="2">
        <v>45608</v>
      </c>
      <c r="D87">
        <v>748.46</v>
      </c>
      <c r="E87">
        <f t="shared" si="2"/>
        <v>1721.7300000000005</v>
      </c>
      <c r="I87">
        <v>83.772999999999996</v>
      </c>
      <c r="J87">
        <f t="shared" si="3"/>
        <v>1843.3669999999997</v>
      </c>
    </row>
    <row r="88" spans="1:10" x14ac:dyDescent="0.25">
      <c r="A88" s="2">
        <v>45609</v>
      </c>
      <c r="D88">
        <v>416.27</v>
      </c>
      <c r="E88">
        <f t="shared" si="2"/>
        <v>1305.4600000000005</v>
      </c>
      <c r="I88">
        <v>78.81</v>
      </c>
      <c r="J88">
        <f t="shared" si="3"/>
        <v>1764.5569999999998</v>
      </c>
    </row>
    <row r="89" spans="1:10" x14ac:dyDescent="0.25">
      <c r="A89" s="2">
        <v>45610</v>
      </c>
      <c r="D89">
        <v>317.48</v>
      </c>
      <c r="E89">
        <f t="shared" si="2"/>
        <v>987.98000000000047</v>
      </c>
      <c r="I89">
        <v>116.652</v>
      </c>
      <c r="J89">
        <f t="shared" si="3"/>
        <v>1647.9049999999997</v>
      </c>
    </row>
    <row r="90" spans="1:10" x14ac:dyDescent="0.25">
      <c r="A90" s="2">
        <v>45611</v>
      </c>
      <c r="D90">
        <v>318.19</v>
      </c>
      <c r="E90">
        <f t="shared" si="2"/>
        <v>669.79000000000042</v>
      </c>
      <c r="I90">
        <v>34.317999999999998</v>
      </c>
      <c r="J90">
        <f t="shared" si="3"/>
        <v>1613.5869999999998</v>
      </c>
    </row>
    <row r="91" spans="1:10" x14ac:dyDescent="0.25">
      <c r="A91" s="2">
        <v>45612</v>
      </c>
      <c r="D91">
        <v>361.88</v>
      </c>
      <c r="E91">
        <f t="shared" si="2"/>
        <v>307.91000000000042</v>
      </c>
      <c r="I91">
        <v>57.55</v>
      </c>
      <c r="J91">
        <f t="shared" si="3"/>
        <v>1556.0369999999998</v>
      </c>
    </row>
    <row r="92" spans="1:10" x14ac:dyDescent="0.25">
      <c r="A92" s="2">
        <v>45613</v>
      </c>
      <c r="D92">
        <v>288.23</v>
      </c>
      <c r="E92">
        <f t="shared" si="2"/>
        <v>19.680000000000405</v>
      </c>
      <c r="I92">
        <v>2.9390000000000001</v>
      </c>
      <c r="J92">
        <f t="shared" si="3"/>
        <v>1553.0979999999997</v>
      </c>
    </row>
    <row r="93" spans="1:10" x14ac:dyDescent="0.25">
      <c r="A93" s="2">
        <v>45614</v>
      </c>
      <c r="B93">
        <v>8000</v>
      </c>
      <c r="E93">
        <v>8019.68</v>
      </c>
      <c r="G93">
        <v>2000</v>
      </c>
      <c r="J93">
        <v>3553.098</v>
      </c>
    </row>
    <row r="94" spans="1:10" x14ac:dyDescent="0.25">
      <c r="A94" t="s">
        <v>13</v>
      </c>
      <c r="D94">
        <v>776.58</v>
      </c>
      <c r="E94">
        <f t="shared" si="2"/>
        <v>7243.1</v>
      </c>
      <c r="I94">
        <v>142.86000000000001</v>
      </c>
      <c r="J94">
        <f t="shared" si="3"/>
        <v>3410.2379999999998</v>
      </c>
    </row>
    <row r="95" spans="1:10" x14ac:dyDescent="0.25">
      <c r="A95" s="2">
        <v>45616</v>
      </c>
      <c r="D95">
        <v>251.37</v>
      </c>
      <c r="E95">
        <f t="shared" si="2"/>
        <v>6991.7300000000005</v>
      </c>
      <c r="I95">
        <v>24.238</v>
      </c>
      <c r="J95">
        <f t="shared" si="3"/>
        <v>3386</v>
      </c>
    </row>
    <row r="96" spans="1:10" x14ac:dyDescent="0.25">
      <c r="A96" s="2">
        <v>45617</v>
      </c>
      <c r="D96">
        <v>301.89</v>
      </c>
      <c r="E96">
        <f t="shared" si="2"/>
        <v>6689.84</v>
      </c>
      <c r="I96">
        <v>11.933999999999999</v>
      </c>
      <c r="J96">
        <f t="shared" si="3"/>
        <v>3374.0659999999998</v>
      </c>
    </row>
    <row r="97" spans="1:10" x14ac:dyDescent="0.25">
      <c r="A97" s="2">
        <v>45618</v>
      </c>
      <c r="D97">
        <v>356.97</v>
      </c>
      <c r="E97">
        <f t="shared" si="2"/>
        <v>6332.87</v>
      </c>
      <c r="I97">
        <v>163.55500000000001</v>
      </c>
      <c r="J97">
        <f t="shared" si="3"/>
        <v>3210.511</v>
      </c>
    </row>
    <row r="98" spans="1:10" x14ac:dyDescent="0.25">
      <c r="A98" s="2">
        <v>45619</v>
      </c>
      <c r="D98">
        <v>325.61</v>
      </c>
      <c r="E98">
        <f t="shared" si="2"/>
        <v>6007.26</v>
      </c>
      <c r="I98">
        <v>7.34</v>
      </c>
      <c r="J98">
        <f t="shared" si="3"/>
        <v>3203.1709999999998</v>
      </c>
    </row>
    <row r="99" spans="1:10" x14ac:dyDescent="0.25">
      <c r="A99" s="2">
        <v>45620</v>
      </c>
      <c r="D99">
        <v>461.72</v>
      </c>
      <c r="E99">
        <f t="shared" si="2"/>
        <v>5545.54</v>
      </c>
      <c r="I99">
        <v>59.968000000000004</v>
      </c>
      <c r="J99">
        <f t="shared" si="3"/>
        <v>3143.203</v>
      </c>
    </row>
    <row r="100" spans="1:10" x14ac:dyDescent="0.25">
      <c r="A100" s="2">
        <v>45621</v>
      </c>
      <c r="D100">
        <v>393.63</v>
      </c>
      <c r="E100">
        <f t="shared" si="2"/>
        <v>5151.91</v>
      </c>
      <c r="I100">
        <v>35.813000000000002</v>
      </c>
      <c r="J100">
        <f t="shared" si="3"/>
        <v>3107.39</v>
      </c>
    </row>
    <row r="101" spans="1:10" x14ac:dyDescent="0.25">
      <c r="A101" s="2">
        <v>45622</v>
      </c>
      <c r="D101">
        <v>612.28</v>
      </c>
      <c r="E101">
        <f t="shared" si="2"/>
        <v>4539.63</v>
      </c>
      <c r="I101">
        <v>14.696999999999999</v>
      </c>
      <c r="J101">
        <f t="shared" si="3"/>
        <v>3092.6929999999998</v>
      </c>
    </row>
    <row r="102" spans="1:10" x14ac:dyDescent="0.25">
      <c r="A102" s="2">
        <v>45623</v>
      </c>
      <c r="D102">
        <v>330.84</v>
      </c>
      <c r="E102">
        <f t="shared" si="2"/>
        <v>4208.79</v>
      </c>
      <c r="I102">
        <v>77.55</v>
      </c>
      <c r="J102">
        <f t="shared" si="3"/>
        <v>3015.1429999999996</v>
      </c>
    </row>
    <row r="103" spans="1:10" x14ac:dyDescent="0.25">
      <c r="A103" s="2">
        <v>45624</v>
      </c>
      <c r="D103">
        <v>255.89</v>
      </c>
      <c r="E103">
        <f t="shared" si="2"/>
        <v>3952.9</v>
      </c>
      <c r="I103">
        <v>96.338999999999999</v>
      </c>
      <c r="J103">
        <f t="shared" si="3"/>
        <v>2918.8039999999996</v>
      </c>
    </row>
    <row r="104" spans="1:10" x14ac:dyDescent="0.25">
      <c r="A104" s="2">
        <v>45625</v>
      </c>
      <c r="D104">
        <v>469.84</v>
      </c>
      <c r="E104">
        <f t="shared" si="2"/>
        <v>3483.06</v>
      </c>
      <c r="I104">
        <v>178</v>
      </c>
      <c r="J104">
        <f t="shared" si="3"/>
        <v>2740.8039999999996</v>
      </c>
    </row>
    <row r="105" spans="1:10" x14ac:dyDescent="0.25">
      <c r="A105" s="2">
        <v>45626</v>
      </c>
      <c r="D105">
        <v>253.33</v>
      </c>
      <c r="E105">
        <f t="shared" si="2"/>
        <v>3229.73</v>
      </c>
      <c r="I105">
        <v>18.224</v>
      </c>
      <c r="J105">
        <f t="shared" si="3"/>
        <v>2722.5799999999995</v>
      </c>
    </row>
    <row r="106" spans="1:10" x14ac:dyDescent="0.25">
      <c r="A106" s="2">
        <v>45627</v>
      </c>
      <c r="D106">
        <v>394.13</v>
      </c>
      <c r="E106">
        <f t="shared" si="2"/>
        <v>2835.6</v>
      </c>
      <c r="I106">
        <v>21.925999999999998</v>
      </c>
      <c r="J106">
        <f t="shared" si="3"/>
        <v>2700.6539999999995</v>
      </c>
    </row>
    <row r="107" spans="1:10" x14ac:dyDescent="0.25">
      <c r="A107" s="2">
        <v>45628</v>
      </c>
      <c r="D107">
        <v>402.64</v>
      </c>
      <c r="E107">
        <f t="shared" si="2"/>
        <v>2432.96</v>
      </c>
      <c r="I107">
        <v>39.180999999999997</v>
      </c>
      <c r="J107">
        <f t="shared" si="3"/>
        <v>2661.4729999999995</v>
      </c>
    </row>
    <row r="108" spans="1:10" x14ac:dyDescent="0.25">
      <c r="A108" s="2">
        <v>45629</v>
      </c>
      <c r="D108">
        <v>702.97</v>
      </c>
      <c r="E108">
        <f t="shared" si="2"/>
        <v>1729.99</v>
      </c>
      <c r="I108">
        <v>181.4</v>
      </c>
      <c r="J108">
        <f t="shared" si="3"/>
        <v>2480.0729999999994</v>
      </c>
    </row>
    <row r="109" spans="1:10" x14ac:dyDescent="0.25">
      <c r="A109" s="2">
        <v>45630</v>
      </c>
      <c r="D109">
        <v>338.94</v>
      </c>
      <c r="E109">
        <f t="shared" si="2"/>
        <v>1391.05</v>
      </c>
      <c r="I109">
        <v>41.15</v>
      </c>
      <c r="J109">
        <f t="shared" si="3"/>
        <v>2438.9229999999993</v>
      </c>
    </row>
    <row r="110" spans="1:10" x14ac:dyDescent="0.25">
      <c r="A110" s="2">
        <v>45631</v>
      </c>
      <c r="D110">
        <v>296.70999999999998</v>
      </c>
      <c r="E110">
        <f t="shared" si="2"/>
        <v>1094.3399999999999</v>
      </c>
      <c r="I110">
        <v>94.912000000000006</v>
      </c>
      <c r="J110">
        <f t="shared" si="3"/>
        <v>2344.0109999999995</v>
      </c>
    </row>
    <row r="111" spans="1:10" x14ac:dyDescent="0.25">
      <c r="A111" s="2">
        <v>45632</v>
      </c>
      <c r="D111">
        <v>418.43</v>
      </c>
      <c r="E111">
        <f t="shared" si="2"/>
        <v>675.90999999999985</v>
      </c>
      <c r="I111">
        <v>187.321</v>
      </c>
      <c r="J111">
        <f t="shared" si="3"/>
        <v>2156.6899999999996</v>
      </c>
    </row>
    <row r="112" spans="1:10" x14ac:dyDescent="0.25">
      <c r="A112" s="2">
        <v>45633</v>
      </c>
      <c r="B112">
        <v>5000</v>
      </c>
      <c r="D112">
        <v>489.28</v>
      </c>
      <c r="E112">
        <v>5186.63</v>
      </c>
      <c r="I112">
        <v>65.248000000000005</v>
      </c>
      <c r="J112">
        <f t="shared" si="3"/>
        <v>2091.4419999999996</v>
      </c>
    </row>
    <row r="113" spans="1:10" x14ac:dyDescent="0.25">
      <c r="A113" s="2">
        <v>45634</v>
      </c>
      <c r="D113">
        <v>377.09</v>
      </c>
      <c r="E113">
        <f t="shared" si="2"/>
        <v>4809.54</v>
      </c>
      <c r="I113">
        <v>18.222999999999999</v>
      </c>
      <c r="J113">
        <f t="shared" si="3"/>
        <v>2073.2189999999996</v>
      </c>
    </row>
    <row r="114" spans="1:10" x14ac:dyDescent="0.25">
      <c r="A114" s="2">
        <v>45635</v>
      </c>
      <c r="C114" t="s">
        <v>29</v>
      </c>
      <c r="D114">
        <v>923.65</v>
      </c>
      <c r="E114">
        <f t="shared" si="2"/>
        <v>3885.89</v>
      </c>
      <c r="I114">
        <v>202.15299999999999</v>
      </c>
      <c r="J114">
        <f t="shared" si="3"/>
        <v>1871.0659999999996</v>
      </c>
    </row>
    <row r="115" spans="1:10" x14ac:dyDescent="0.25">
      <c r="A115" s="2">
        <v>45636</v>
      </c>
      <c r="D115">
        <v>676.57</v>
      </c>
      <c r="E115">
        <f t="shared" si="2"/>
        <v>3209.3199999999997</v>
      </c>
      <c r="I115">
        <v>175.542</v>
      </c>
      <c r="J115">
        <f t="shared" si="3"/>
        <v>1695.5239999999997</v>
      </c>
    </row>
    <row r="116" spans="1:10" x14ac:dyDescent="0.25">
      <c r="A116" s="2">
        <v>45637</v>
      </c>
      <c r="D116">
        <v>400.49</v>
      </c>
      <c r="E116">
        <f t="shared" si="2"/>
        <v>2808.83</v>
      </c>
      <c r="I116">
        <v>200.61500000000001</v>
      </c>
      <c r="J116">
        <f t="shared" si="3"/>
        <v>1494.9089999999997</v>
      </c>
    </row>
    <row r="117" spans="1:10" x14ac:dyDescent="0.25">
      <c r="A117" s="2">
        <v>45638</v>
      </c>
      <c r="D117">
        <v>299.3</v>
      </c>
      <c r="E117">
        <f t="shared" si="2"/>
        <v>2509.5299999999997</v>
      </c>
      <c r="I117">
        <v>36.414000000000001</v>
      </c>
      <c r="J117">
        <f t="shared" si="3"/>
        <v>1458.4949999999997</v>
      </c>
    </row>
    <row r="118" spans="1:10" x14ac:dyDescent="0.25">
      <c r="A118" s="2">
        <v>45639</v>
      </c>
      <c r="D118">
        <v>491.37</v>
      </c>
      <c r="E118">
        <f t="shared" si="2"/>
        <v>2018.1599999999999</v>
      </c>
      <c r="I118">
        <v>80.254000000000005</v>
      </c>
      <c r="J118">
        <f t="shared" si="3"/>
        <v>1378.2409999999998</v>
      </c>
    </row>
    <row r="119" spans="1:10" x14ac:dyDescent="0.25">
      <c r="A119" s="2">
        <v>45640</v>
      </c>
      <c r="D119">
        <v>408.23</v>
      </c>
      <c r="E119">
        <f t="shared" si="2"/>
        <v>1609.9299999999998</v>
      </c>
      <c r="I119">
        <v>40.128</v>
      </c>
      <c r="J119">
        <f t="shared" si="3"/>
        <v>1338.1129999999998</v>
      </c>
    </row>
    <row r="120" spans="1:10" x14ac:dyDescent="0.25">
      <c r="A120" s="2">
        <v>45641</v>
      </c>
      <c r="D120">
        <v>255.31</v>
      </c>
      <c r="E120">
        <f t="shared" si="2"/>
        <v>1354.62</v>
      </c>
      <c r="I120">
        <v>20.832999999999998</v>
      </c>
      <c r="J120">
        <f t="shared" si="3"/>
        <v>1317.2799999999997</v>
      </c>
    </row>
    <row r="121" spans="1:10" x14ac:dyDescent="0.25">
      <c r="A121" s="2">
        <v>45642</v>
      </c>
      <c r="D121">
        <v>536.88</v>
      </c>
      <c r="E121">
        <f t="shared" si="2"/>
        <v>817.7399999999999</v>
      </c>
      <c r="I121">
        <v>75.397999999999996</v>
      </c>
      <c r="J121">
        <f t="shared" si="3"/>
        <v>1241.8819999999998</v>
      </c>
    </row>
    <row r="122" spans="1:10" x14ac:dyDescent="0.25">
      <c r="A122" s="2">
        <v>45643</v>
      </c>
      <c r="C122" t="s">
        <v>29</v>
      </c>
      <c r="D122">
        <v>909.39</v>
      </c>
      <c r="E122">
        <f t="shared" si="2"/>
        <v>-91.650000000000091</v>
      </c>
      <c r="I122">
        <v>22.14</v>
      </c>
      <c r="J122">
        <f t="shared" si="3"/>
        <v>1219.7419999999997</v>
      </c>
    </row>
    <row r="123" spans="1:10" x14ac:dyDescent="0.25">
      <c r="A123" s="2">
        <v>45644</v>
      </c>
      <c r="B123">
        <v>8000</v>
      </c>
      <c r="E123">
        <v>8000</v>
      </c>
      <c r="G123">
        <v>2000</v>
      </c>
      <c r="J123">
        <v>3219.7420000000002</v>
      </c>
    </row>
    <row r="124" spans="1:10" x14ac:dyDescent="0.25">
      <c r="A124" s="2">
        <v>45644</v>
      </c>
      <c r="D124">
        <v>167.32</v>
      </c>
      <c r="E124">
        <f t="shared" si="2"/>
        <v>7832.68</v>
      </c>
      <c r="I124">
        <v>57.046999999999997</v>
      </c>
      <c r="J124">
        <f t="shared" si="3"/>
        <v>3162.6950000000002</v>
      </c>
    </row>
    <row r="125" spans="1:10" x14ac:dyDescent="0.25">
      <c r="A125" s="2">
        <v>19</v>
      </c>
      <c r="D125">
        <v>502.98</v>
      </c>
      <c r="E125">
        <f t="shared" si="2"/>
        <v>7329.7000000000007</v>
      </c>
      <c r="I125">
        <v>128.37200000000001</v>
      </c>
      <c r="J125">
        <f t="shared" si="3"/>
        <v>3034.3230000000003</v>
      </c>
    </row>
    <row r="126" spans="1:10" x14ac:dyDescent="0.25">
      <c r="A126" s="2">
        <v>45646</v>
      </c>
      <c r="D126">
        <v>449.18</v>
      </c>
      <c r="E126">
        <f t="shared" si="2"/>
        <v>6880.52</v>
      </c>
      <c r="I126">
        <v>57.244</v>
      </c>
      <c r="J126">
        <f t="shared" si="3"/>
        <v>2977.0790000000002</v>
      </c>
    </row>
    <row r="127" spans="1:10" x14ac:dyDescent="0.25">
      <c r="A127" s="2">
        <v>45647</v>
      </c>
      <c r="D127">
        <v>393.37</v>
      </c>
      <c r="E127">
        <f t="shared" si="2"/>
        <v>6487.1500000000005</v>
      </c>
      <c r="I127">
        <v>26.925000000000001</v>
      </c>
      <c r="J127">
        <f t="shared" si="3"/>
        <v>2950.154</v>
      </c>
    </row>
    <row r="128" spans="1:10" x14ac:dyDescent="0.25">
      <c r="A128" s="2">
        <v>45648</v>
      </c>
      <c r="D128">
        <v>432.98</v>
      </c>
      <c r="E128">
        <f t="shared" si="2"/>
        <v>6054.17</v>
      </c>
      <c r="I128">
        <v>35.302999999999997</v>
      </c>
      <c r="J128">
        <f t="shared" si="3"/>
        <v>2914.8510000000001</v>
      </c>
    </row>
    <row r="129" spans="1:10" x14ac:dyDescent="0.25">
      <c r="A129" s="2">
        <v>45649</v>
      </c>
      <c r="D129">
        <v>456.54</v>
      </c>
      <c r="E129">
        <f t="shared" si="2"/>
        <v>5597.63</v>
      </c>
      <c r="I129">
        <v>102.798</v>
      </c>
      <c r="J129">
        <f t="shared" si="3"/>
        <v>2812.0529999999999</v>
      </c>
    </row>
    <row r="130" spans="1:10" x14ac:dyDescent="0.25">
      <c r="A130" s="2">
        <v>45650</v>
      </c>
      <c r="C130" t="s">
        <v>29</v>
      </c>
      <c r="D130">
        <v>1189.57</v>
      </c>
      <c r="E130">
        <f t="shared" si="2"/>
        <v>4408.0600000000004</v>
      </c>
      <c r="I130">
        <v>70.462999999999994</v>
      </c>
      <c r="J130">
        <f t="shared" si="3"/>
        <v>2741.5899999999997</v>
      </c>
    </row>
    <row r="131" spans="1:10" x14ac:dyDescent="0.25">
      <c r="A131" s="2">
        <v>45651</v>
      </c>
      <c r="D131">
        <v>514.80999999999995</v>
      </c>
      <c r="E131">
        <f t="shared" si="2"/>
        <v>3893.2500000000005</v>
      </c>
      <c r="I131">
        <v>70.006</v>
      </c>
      <c r="J131">
        <f t="shared" si="3"/>
        <v>2671.5839999999998</v>
      </c>
    </row>
    <row r="132" spans="1:10" x14ac:dyDescent="0.25">
      <c r="A132" s="2">
        <v>45652</v>
      </c>
      <c r="D132">
        <v>467.67</v>
      </c>
      <c r="E132">
        <f t="shared" si="2"/>
        <v>3425.5800000000004</v>
      </c>
      <c r="I132">
        <v>186.74299999999999</v>
      </c>
      <c r="J132">
        <f t="shared" si="3"/>
        <v>2484.8409999999999</v>
      </c>
    </row>
    <row r="133" spans="1:10" x14ac:dyDescent="0.25">
      <c r="A133" s="2">
        <v>45653</v>
      </c>
      <c r="D133">
        <v>520.41999999999996</v>
      </c>
      <c r="E133">
        <f t="shared" ref="E133:E182" si="4">E132-D133</f>
        <v>2905.1600000000003</v>
      </c>
      <c r="I133">
        <v>59.875</v>
      </c>
      <c r="J133">
        <f t="shared" ref="J133:J182" si="5">J132-I133</f>
        <v>2424.9659999999999</v>
      </c>
    </row>
    <row r="134" spans="1:10" x14ac:dyDescent="0.25">
      <c r="A134" s="2">
        <v>45654</v>
      </c>
      <c r="D134">
        <v>757.11</v>
      </c>
      <c r="E134">
        <f t="shared" si="4"/>
        <v>2148.0500000000002</v>
      </c>
      <c r="I134">
        <v>49.875999999999998</v>
      </c>
      <c r="J134">
        <f t="shared" si="5"/>
        <v>2375.0899999999997</v>
      </c>
    </row>
    <row r="135" spans="1:10" x14ac:dyDescent="0.25">
      <c r="A135" s="2">
        <v>45655</v>
      </c>
      <c r="D135">
        <v>471.73</v>
      </c>
      <c r="E135">
        <f t="shared" si="4"/>
        <v>1676.3200000000002</v>
      </c>
      <c r="I135">
        <v>71.200999999999993</v>
      </c>
      <c r="J135">
        <f t="shared" si="5"/>
        <v>2303.8889999999997</v>
      </c>
    </row>
    <row r="136" spans="1:10" x14ac:dyDescent="0.25">
      <c r="A136" s="2">
        <v>45656</v>
      </c>
      <c r="D136">
        <v>618.01</v>
      </c>
      <c r="E136">
        <f t="shared" si="4"/>
        <v>1058.3100000000002</v>
      </c>
      <c r="I136">
        <v>93.891999999999996</v>
      </c>
      <c r="J136">
        <f t="shared" si="5"/>
        <v>2209.9969999999998</v>
      </c>
    </row>
    <row r="137" spans="1:10" x14ac:dyDescent="0.25">
      <c r="A137" s="2">
        <v>46022</v>
      </c>
      <c r="C137" t="s">
        <v>29</v>
      </c>
      <c r="D137">
        <v>1033.94</v>
      </c>
      <c r="E137">
        <f t="shared" si="4"/>
        <v>24.370000000000118</v>
      </c>
      <c r="I137">
        <v>33.807000000000002</v>
      </c>
      <c r="J137">
        <f t="shared" si="5"/>
        <v>2176.19</v>
      </c>
    </row>
    <row r="138" spans="1:10" x14ac:dyDescent="0.25">
      <c r="A138" s="2">
        <v>46022</v>
      </c>
      <c r="B138">
        <v>10000</v>
      </c>
      <c r="E138">
        <v>10024.370000000001</v>
      </c>
      <c r="J138">
        <f t="shared" si="5"/>
        <v>2176.19</v>
      </c>
    </row>
    <row r="139" spans="1:10" x14ac:dyDescent="0.25">
      <c r="A139" s="2">
        <v>45658</v>
      </c>
      <c r="D139">
        <v>422.12</v>
      </c>
      <c r="E139">
        <f t="shared" si="4"/>
        <v>9602.25</v>
      </c>
      <c r="I139">
        <v>12.565</v>
      </c>
      <c r="J139">
        <f t="shared" si="5"/>
        <v>2163.625</v>
      </c>
    </row>
    <row r="140" spans="1:10" x14ac:dyDescent="0.25">
      <c r="A140" s="2">
        <v>45659</v>
      </c>
      <c r="D140">
        <v>632.14</v>
      </c>
      <c r="E140">
        <f t="shared" si="4"/>
        <v>8970.11</v>
      </c>
      <c r="I140">
        <v>85.864999999999995</v>
      </c>
      <c r="J140">
        <f t="shared" si="5"/>
        <v>2077.7600000000002</v>
      </c>
    </row>
    <row r="141" spans="1:10" x14ac:dyDescent="0.25">
      <c r="A141" s="2">
        <v>45660</v>
      </c>
      <c r="D141">
        <v>541.29999999999995</v>
      </c>
      <c r="E141">
        <f t="shared" si="4"/>
        <v>8428.8100000000013</v>
      </c>
      <c r="I141">
        <v>111.29</v>
      </c>
      <c r="J141">
        <f t="shared" si="5"/>
        <v>1966.4700000000003</v>
      </c>
    </row>
    <row r="142" spans="1:10" x14ac:dyDescent="0.25">
      <c r="A142" s="2">
        <v>45661</v>
      </c>
      <c r="D142">
        <v>583.57000000000005</v>
      </c>
      <c r="E142">
        <f t="shared" si="4"/>
        <v>7845.2400000000016</v>
      </c>
      <c r="I142">
        <v>39.787999999999997</v>
      </c>
      <c r="J142">
        <f t="shared" si="5"/>
        <v>1926.6820000000002</v>
      </c>
    </row>
    <row r="143" spans="1:10" x14ac:dyDescent="0.25">
      <c r="A143" s="2">
        <v>45662</v>
      </c>
      <c r="D143">
        <v>550.58000000000004</v>
      </c>
      <c r="E143">
        <f t="shared" si="4"/>
        <v>7294.6600000000017</v>
      </c>
      <c r="I143">
        <v>43.079000000000001</v>
      </c>
      <c r="J143">
        <f t="shared" si="5"/>
        <v>1883.6030000000003</v>
      </c>
    </row>
    <row r="144" spans="1:10" x14ac:dyDescent="0.25">
      <c r="A144" s="2">
        <v>45663</v>
      </c>
      <c r="D144">
        <v>544.13</v>
      </c>
      <c r="E144">
        <f t="shared" si="4"/>
        <v>6750.5300000000016</v>
      </c>
      <c r="I144">
        <v>32.009</v>
      </c>
      <c r="J144">
        <f t="shared" si="5"/>
        <v>1851.5940000000003</v>
      </c>
    </row>
    <row r="145" spans="1:10" x14ac:dyDescent="0.25">
      <c r="A145" s="2">
        <v>45664</v>
      </c>
      <c r="C145" t="s">
        <v>29</v>
      </c>
      <c r="D145">
        <v>830.79</v>
      </c>
      <c r="E145">
        <f t="shared" si="4"/>
        <v>5919.7400000000016</v>
      </c>
      <c r="I145">
        <v>74.253</v>
      </c>
      <c r="J145">
        <f t="shared" si="5"/>
        <v>1777.3410000000003</v>
      </c>
    </row>
    <row r="146" spans="1:10" x14ac:dyDescent="0.25">
      <c r="A146" s="2">
        <v>45665</v>
      </c>
      <c r="D146">
        <v>439.54</v>
      </c>
      <c r="E146">
        <f t="shared" si="4"/>
        <v>5480.2000000000016</v>
      </c>
      <c r="I146">
        <v>52.954000000000001</v>
      </c>
      <c r="J146">
        <f t="shared" si="5"/>
        <v>1724.3870000000004</v>
      </c>
    </row>
    <row r="147" spans="1:10" x14ac:dyDescent="0.25">
      <c r="A147" s="2">
        <v>45666</v>
      </c>
      <c r="D147">
        <v>324.04000000000002</v>
      </c>
      <c r="E147">
        <f t="shared" si="4"/>
        <v>5156.1600000000017</v>
      </c>
      <c r="I147">
        <v>65.218999999999994</v>
      </c>
      <c r="J147">
        <f t="shared" si="5"/>
        <v>1659.1680000000003</v>
      </c>
    </row>
    <row r="148" spans="1:10" x14ac:dyDescent="0.25">
      <c r="A148" s="2">
        <v>45667</v>
      </c>
      <c r="D148">
        <v>425.9</v>
      </c>
      <c r="E148">
        <f t="shared" si="4"/>
        <v>4730.260000000002</v>
      </c>
      <c r="I148">
        <v>158.00399999999999</v>
      </c>
      <c r="J148">
        <f t="shared" si="5"/>
        <v>1501.1640000000004</v>
      </c>
    </row>
    <row r="149" spans="1:10" x14ac:dyDescent="0.25">
      <c r="A149" s="2">
        <v>45668</v>
      </c>
      <c r="D149">
        <v>380.29</v>
      </c>
      <c r="E149">
        <f t="shared" si="4"/>
        <v>4349.9700000000021</v>
      </c>
      <c r="I149">
        <v>43.08</v>
      </c>
      <c r="J149">
        <f t="shared" si="5"/>
        <v>1458.0840000000005</v>
      </c>
    </row>
    <row r="150" spans="1:10" x14ac:dyDescent="0.25">
      <c r="A150" s="2">
        <v>45669</v>
      </c>
      <c r="D150">
        <v>393.42</v>
      </c>
      <c r="E150">
        <f t="shared" si="4"/>
        <v>3956.550000000002</v>
      </c>
      <c r="I150">
        <v>82.588999999999999</v>
      </c>
      <c r="J150">
        <f t="shared" si="5"/>
        <v>1375.4950000000006</v>
      </c>
    </row>
    <row r="151" spans="1:10" x14ac:dyDescent="0.25">
      <c r="A151" s="2">
        <v>45670</v>
      </c>
      <c r="D151">
        <v>352.37</v>
      </c>
      <c r="E151">
        <f t="shared" si="4"/>
        <v>3604.1800000000021</v>
      </c>
      <c r="I151">
        <v>100.041</v>
      </c>
      <c r="J151">
        <f t="shared" si="5"/>
        <v>1275.4540000000006</v>
      </c>
    </row>
    <row r="152" spans="1:10" x14ac:dyDescent="0.25">
      <c r="A152" s="2">
        <v>45671</v>
      </c>
      <c r="C152" t="s">
        <v>29</v>
      </c>
      <c r="D152">
        <v>813.57</v>
      </c>
      <c r="E152">
        <f t="shared" si="4"/>
        <v>2790.6100000000019</v>
      </c>
      <c r="I152">
        <v>129.87899999999999</v>
      </c>
      <c r="J152">
        <f t="shared" si="5"/>
        <v>1145.5750000000007</v>
      </c>
    </row>
    <row r="153" spans="1:10" x14ac:dyDescent="0.25">
      <c r="A153" s="2">
        <v>45672</v>
      </c>
      <c r="D153">
        <v>474.47</v>
      </c>
      <c r="E153">
        <f t="shared" si="4"/>
        <v>2316.1400000000021</v>
      </c>
      <c r="I153">
        <v>92.015000000000001</v>
      </c>
      <c r="J153">
        <f t="shared" si="5"/>
        <v>1053.5600000000006</v>
      </c>
    </row>
    <row r="154" spans="1:10" x14ac:dyDescent="0.25">
      <c r="A154" s="2">
        <v>45673</v>
      </c>
      <c r="D154">
        <v>276.11</v>
      </c>
      <c r="E154">
        <f t="shared" si="4"/>
        <v>2040.030000000002</v>
      </c>
      <c r="I154">
        <v>39.615000000000002</v>
      </c>
      <c r="J154">
        <f t="shared" si="5"/>
        <v>1013.9450000000006</v>
      </c>
    </row>
    <row r="155" spans="1:10" x14ac:dyDescent="0.25">
      <c r="A155" s="2">
        <v>45674</v>
      </c>
      <c r="D155">
        <v>374.92</v>
      </c>
      <c r="E155">
        <f t="shared" si="4"/>
        <v>1665.1100000000019</v>
      </c>
      <c r="I155">
        <v>203.20599999999999</v>
      </c>
      <c r="J155">
        <f t="shared" si="5"/>
        <v>810.7390000000006</v>
      </c>
    </row>
    <row r="156" spans="1:10" x14ac:dyDescent="0.25">
      <c r="A156" s="2">
        <v>45675</v>
      </c>
      <c r="D156">
        <v>485.24</v>
      </c>
      <c r="E156">
        <f t="shared" si="4"/>
        <v>1179.8700000000019</v>
      </c>
      <c r="I156">
        <v>25.052</v>
      </c>
      <c r="J156">
        <f t="shared" si="5"/>
        <v>785.68700000000058</v>
      </c>
    </row>
    <row r="157" spans="1:10" x14ac:dyDescent="0.25">
      <c r="A157" s="2">
        <v>45676</v>
      </c>
      <c r="D157">
        <v>397.06</v>
      </c>
      <c r="E157">
        <f t="shared" si="4"/>
        <v>782.81000000000199</v>
      </c>
      <c r="I157">
        <v>145.36799999999999</v>
      </c>
      <c r="J157">
        <f t="shared" si="5"/>
        <v>640.31900000000064</v>
      </c>
    </row>
    <row r="158" spans="1:10" x14ac:dyDescent="0.25">
      <c r="A158" s="2">
        <v>45677</v>
      </c>
      <c r="D158">
        <v>318.97000000000003</v>
      </c>
      <c r="E158">
        <f t="shared" si="4"/>
        <v>463.84000000000196</v>
      </c>
      <c r="I158">
        <v>93.141999999999996</v>
      </c>
      <c r="J158">
        <f t="shared" si="5"/>
        <v>547.17700000000059</v>
      </c>
    </row>
    <row r="159" spans="1:10" x14ac:dyDescent="0.25">
      <c r="A159" s="2">
        <v>45678</v>
      </c>
      <c r="B159">
        <v>8000</v>
      </c>
      <c r="C159" t="s">
        <v>29</v>
      </c>
      <c r="E159">
        <v>8463.84</v>
      </c>
      <c r="G159">
        <v>2000</v>
      </c>
      <c r="J159">
        <v>2547.1770000000001</v>
      </c>
    </row>
    <row r="160" spans="1:10" x14ac:dyDescent="0.25">
      <c r="A160" s="2">
        <v>45678</v>
      </c>
      <c r="D160">
        <v>787.26</v>
      </c>
      <c r="E160">
        <f t="shared" si="4"/>
        <v>7676.58</v>
      </c>
      <c r="I160">
        <v>53.438000000000002</v>
      </c>
      <c r="J160">
        <f t="shared" si="5"/>
        <v>2493.739</v>
      </c>
    </row>
    <row r="161" spans="1:10" x14ac:dyDescent="0.25">
      <c r="A161" s="2">
        <v>45679</v>
      </c>
      <c r="D161">
        <v>311.68</v>
      </c>
      <c r="E161">
        <f t="shared" si="4"/>
        <v>7364.9</v>
      </c>
      <c r="I161">
        <v>179.727</v>
      </c>
      <c r="J161">
        <f t="shared" si="5"/>
        <v>2314.0120000000002</v>
      </c>
    </row>
    <row r="162" spans="1:10" x14ac:dyDescent="0.25">
      <c r="A162" s="2">
        <v>45680</v>
      </c>
      <c r="D162">
        <v>249.96</v>
      </c>
      <c r="E162">
        <f t="shared" si="4"/>
        <v>7114.94</v>
      </c>
      <c r="I162">
        <v>29.266999999999999</v>
      </c>
      <c r="J162">
        <f t="shared" si="5"/>
        <v>2284.7450000000003</v>
      </c>
    </row>
    <row r="163" spans="1:10" x14ac:dyDescent="0.25">
      <c r="A163" s="2">
        <v>45681</v>
      </c>
      <c r="D163">
        <v>362.36</v>
      </c>
      <c r="E163">
        <f t="shared" si="4"/>
        <v>6752.58</v>
      </c>
      <c r="I163">
        <v>102.288</v>
      </c>
      <c r="J163">
        <f t="shared" si="5"/>
        <v>2182.4570000000003</v>
      </c>
    </row>
    <row r="164" spans="1:10" x14ac:dyDescent="0.25">
      <c r="A164" s="2">
        <v>45682</v>
      </c>
      <c r="D164">
        <v>479.11</v>
      </c>
      <c r="E164">
        <f t="shared" si="4"/>
        <v>6273.47</v>
      </c>
      <c r="I164">
        <v>100.514</v>
      </c>
      <c r="J164">
        <f t="shared" si="5"/>
        <v>2081.9430000000002</v>
      </c>
    </row>
    <row r="165" spans="1:10" x14ac:dyDescent="0.25">
      <c r="A165" s="2">
        <v>45683</v>
      </c>
      <c r="D165">
        <v>403.82</v>
      </c>
      <c r="E165">
        <f t="shared" si="4"/>
        <v>5869.6500000000005</v>
      </c>
      <c r="I165">
        <v>42.017000000000003</v>
      </c>
      <c r="J165">
        <f t="shared" si="5"/>
        <v>2039.9260000000002</v>
      </c>
    </row>
    <row r="166" spans="1:10" x14ac:dyDescent="0.25">
      <c r="A166" s="2">
        <v>45684</v>
      </c>
      <c r="D166">
        <v>528.1</v>
      </c>
      <c r="E166">
        <f t="shared" si="4"/>
        <v>5341.55</v>
      </c>
      <c r="I166">
        <v>89.216999999999999</v>
      </c>
      <c r="J166">
        <f t="shared" si="5"/>
        <v>1950.7090000000001</v>
      </c>
    </row>
    <row r="167" spans="1:10" x14ac:dyDescent="0.25">
      <c r="A167" s="2">
        <v>45685</v>
      </c>
      <c r="D167">
        <v>606.32000000000005</v>
      </c>
      <c r="E167">
        <f t="shared" si="4"/>
        <v>4735.2300000000005</v>
      </c>
      <c r="I167">
        <v>83.375</v>
      </c>
      <c r="J167">
        <f t="shared" si="5"/>
        <v>1867.3340000000001</v>
      </c>
    </row>
    <row r="168" spans="1:10" x14ac:dyDescent="0.25">
      <c r="A168" s="2">
        <v>45686</v>
      </c>
      <c r="D168">
        <v>307.52</v>
      </c>
      <c r="E168">
        <f t="shared" si="4"/>
        <v>4427.7100000000009</v>
      </c>
      <c r="I168">
        <v>216.15</v>
      </c>
      <c r="J168">
        <f t="shared" si="5"/>
        <v>1651.184</v>
      </c>
    </row>
    <row r="169" spans="1:10" x14ac:dyDescent="0.25">
      <c r="A169" s="2">
        <v>45687</v>
      </c>
      <c r="D169">
        <v>248.14</v>
      </c>
      <c r="E169">
        <f t="shared" si="4"/>
        <v>4179.5700000000006</v>
      </c>
      <c r="I169">
        <v>122.339</v>
      </c>
      <c r="J169">
        <f t="shared" si="5"/>
        <v>1528.845</v>
      </c>
    </row>
    <row r="170" spans="1:10" x14ac:dyDescent="0.25">
      <c r="A170" s="2">
        <v>45688</v>
      </c>
      <c r="D170">
        <v>438.03</v>
      </c>
      <c r="E170">
        <f t="shared" si="4"/>
        <v>3741.5400000000009</v>
      </c>
      <c r="I170">
        <v>114.21</v>
      </c>
      <c r="J170">
        <f t="shared" si="5"/>
        <v>1414.635</v>
      </c>
    </row>
    <row r="171" spans="1:10" x14ac:dyDescent="0.25">
      <c r="A171" s="2">
        <v>45689</v>
      </c>
      <c r="D171">
        <v>473</v>
      </c>
      <c r="E171">
        <f t="shared" si="4"/>
        <v>3268.5400000000009</v>
      </c>
      <c r="I171">
        <v>61.017000000000003</v>
      </c>
      <c r="J171">
        <f t="shared" si="5"/>
        <v>1353.6179999999999</v>
      </c>
    </row>
    <row r="172" spans="1:10" x14ac:dyDescent="0.25">
      <c r="A172" s="2">
        <v>45690</v>
      </c>
      <c r="D172">
        <v>491.34</v>
      </c>
      <c r="E172">
        <f t="shared" si="4"/>
        <v>2777.2000000000007</v>
      </c>
      <c r="I172">
        <v>48.66</v>
      </c>
      <c r="J172">
        <f t="shared" si="5"/>
        <v>1304.9579999999999</v>
      </c>
    </row>
    <row r="173" spans="1:10" x14ac:dyDescent="0.25">
      <c r="A173" s="2">
        <v>45691</v>
      </c>
      <c r="D173">
        <v>464.58</v>
      </c>
      <c r="E173">
        <f t="shared" si="4"/>
        <v>2312.6200000000008</v>
      </c>
      <c r="I173">
        <v>242.72900000000001</v>
      </c>
      <c r="J173">
        <f t="shared" si="5"/>
        <v>1062.2289999999998</v>
      </c>
    </row>
    <row r="174" spans="1:10" x14ac:dyDescent="0.25">
      <c r="A174" s="2">
        <v>45692</v>
      </c>
      <c r="D174">
        <v>679.67</v>
      </c>
      <c r="E174">
        <f t="shared" si="4"/>
        <v>1632.9500000000007</v>
      </c>
      <c r="I174">
        <v>112.175</v>
      </c>
      <c r="J174">
        <f t="shared" si="5"/>
        <v>950.05399999999986</v>
      </c>
    </row>
    <row r="175" spans="1:10" x14ac:dyDescent="0.25">
      <c r="A175" s="2">
        <v>45693</v>
      </c>
      <c r="D175">
        <v>343.47</v>
      </c>
      <c r="E175">
        <f t="shared" si="4"/>
        <v>1289.4800000000007</v>
      </c>
      <c r="I175">
        <v>36.292999999999999</v>
      </c>
      <c r="J175">
        <f t="shared" si="5"/>
        <v>913.76099999999985</v>
      </c>
    </row>
    <row r="176" spans="1:10" x14ac:dyDescent="0.25">
      <c r="A176" s="2">
        <v>45694</v>
      </c>
      <c r="D176">
        <v>305.27</v>
      </c>
      <c r="E176">
        <f t="shared" si="4"/>
        <v>984.21000000000072</v>
      </c>
      <c r="I176">
        <v>67.581999999999994</v>
      </c>
      <c r="J176">
        <f t="shared" si="5"/>
        <v>846.17899999999986</v>
      </c>
    </row>
    <row r="177" spans="1:10" x14ac:dyDescent="0.25">
      <c r="A177" s="2">
        <v>45695</v>
      </c>
      <c r="D177">
        <v>353.9</v>
      </c>
      <c r="E177">
        <f t="shared" si="4"/>
        <v>630.31000000000074</v>
      </c>
      <c r="I177">
        <v>121.13</v>
      </c>
      <c r="J177">
        <f t="shared" si="5"/>
        <v>725.04899999999986</v>
      </c>
    </row>
    <row r="178" spans="1:10" x14ac:dyDescent="0.25">
      <c r="A178" s="2">
        <v>45696</v>
      </c>
      <c r="B178">
        <v>8000</v>
      </c>
      <c r="E178">
        <v>8630.31</v>
      </c>
    </row>
    <row r="179" spans="1:10" x14ac:dyDescent="0.25">
      <c r="A179" s="2">
        <v>45696</v>
      </c>
      <c r="D179">
        <v>412.41</v>
      </c>
      <c r="E179">
        <v>8217.9500000000007</v>
      </c>
      <c r="G179">
        <v>2000</v>
      </c>
      <c r="I179">
        <v>133.04499999999999</v>
      </c>
      <c r="J179">
        <v>2592.0039999999999</v>
      </c>
    </row>
    <row r="180" spans="1:10" x14ac:dyDescent="0.25">
      <c r="A180" s="2">
        <v>45697</v>
      </c>
      <c r="D180">
        <v>389.85</v>
      </c>
      <c r="E180">
        <f t="shared" si="4"/>
        <v>7828.1</v>
      </c>
      <c r="I180">
        <v>36.606000000000002</v>
      </c>
      <c r="J180">
        <f t="shared" si="5"/>
        <v>2555.3979999999997</v>
      </c>
    </row>
    <row r="181" spans="1:10" x14ac:dyDescent="0.25">
      <c r="A181" s="2">
        <v>45698</v>
      </c>
      <c r="D181">
        <v>409.39</v>
      </c>
      <c r="E181">
        <f t="shared" si="4"/>
        <v>7418.71</v>
      </c>
      <c r="I181">
        <v>198.93600000000001</v>
      </c>
      <c r="J181">
        <f t="shared" si="5"/>
        <v>2356.4619999999995</v>
      </c>
    </row>
    <row r="182" spans="1:10" x14ac:dyDescent="0.25">
      <c r="A182" s="2">
        <v>45699</v>
      </c>
      <c r="D182">
        <v>840.44</v>
      </c>
      <c r="E182">
        <f t="shared" si="4"/>
        <v>6578.27</v>
      </c>
      <c r="I182">
        <v>251.417</v>
      </c>
      <c r="J182">
        <f t="shared" si="5"/>
        <v>2105.0449999999996</v>
      </c>
    </row>
    <row r="183" spans="1:10" x14ac:dyDescent="0.25">
      <c r="E183">
        <v>7879</v>
      </c>
      <c r="J183">
        <v>0</v>
      </c>
    </row>
    <row r="184" spans="1:10" x14ac:dyDescent="0.25">
      <c r="A184" s="2">
        <v>45744</v>
      </c>
      <c r="D184">
        <v>340</v>
      </c>
      <c r="E184">
        <f>E183-D184</f>
        <v>7539</v>
      </c>
      <c r="I184">
        <v>258.51799999999997</v>
      </c>
      <c r="J184">
        <v>1454</v>
      </c>
    </row>
    <row r="185" spans="1:10" x14ac:dyDescent="0.25">
      <c r="A185" s="2">
        <v>45766</v>
      </c>
      <c r="D185">
        <v>320.58999999999997</v>
      </c>
      <c r="E185">
        <f t="shared" ref="E185:E210" si="6">E184-D185</f>
        <v>7218.41</v>
      </c>
      <c r="I185">
        <v>349.46800000000002</v>
      </c>
      <c r="J185">
        <f>J184-I184</f>
        <v>1195.482</v>
      </c>
    </row>
    <row r="186" spans="1:10" x14ac:dyDescent="0.25">
      <c r="A186" s="2">
        <v>45767</v>
      </c>
      <c r="D186">
        <v>405.72</v>
      </c>
      <c r="E186">
        <f t="shared" si="6"/>
        <v>6812.69</v>
      </c>
      <c r="I186">
        <v>441.35500000000002</v>
      </c>
      <c r="J186">
        <f t="shared" ref="J186:J210" si="7">J185-I185</f>
        <v>846.0139999999999</v>
      </c>
    </row>
    <row r="187" spans="1:10" x14ac:dyDescent="0.25">
      <c r="A187" s="2">
        <v>45768</v>
      </c>
      <c r="D187">
        <v>298.31</v>
      </c>
      <c r="E187">
        <f t="shared" si="6"/>
        <v>6514.3799999999992</v>
      </c>
      <c r="I187">
        <v>172.95</v>
      </c>
      <c r="J187">
        <f t="shared" si="7"/>
        <v>404.65899999999988</v>
      </c>
    </row>
    <row r="188" spans="1:10" x14ac:dyDescent="0.25">
      <c r="A188" s="2">
        <v>45769</v>
      </c>
      <c r="D188">
        <v>390.46</v>
      </c>
      <c r="E188">
        <f t="shared" si="6"/>
        <v>6123.9199999999992</v>
      </c>
      <c r="I188">
        <v>359.19200000000001</v>
      </c>
      <c r="J188">
        <f t="shared" si="7"/>
        <v>231.70899999999989</v>
      </c>
    </row>
    <row r="189" spans="1:10" x14ac:dyDescent="0.25">
      <c r="A189" s="2">
        <v>45770</v>
      </c>
      <c r="B189">
        <v>3000</v>
      </c>
      <c r="D189">
        <v>737.5</v>
      </c>
      <c r="E189">
        <v>8386.42</v>
      </c>
      <c r="G189">
        <v>4000</v>
      </c>
      <c r="I189">
        <v>251.404</v>
      </c>
      <c r="J189">
        <v>4000</v>
      </c>
    </row>
    <row r="190" spans="1:10" x14ac:dyDescent="0.25">
      <c r="A190" s="2">
        <v>45771</v>
      </c>
      <c r="D190">
        <v>232.46</v>
      </c>
      <c r="E190">
        <f t="shared" si="6"/>
        <v>8153.96</v>
      </c>
      <c r="I190">
        <v>89.093999999999994</v>
      </c>
      <c r="J190">
        <f t="shared" si="7"/>
        <v>3748.596</v>
      </c>
    </row>
    <row r="191" spans="1:10" x14ac:dyDescent="0.25">
      <c r="A191" s="2">
        <v>45772</v>
      </c>
      <c r="D191">
        <v>269.95999999999998</v>
      </c>
      <c r="E191">
        <f t="shared" si="6"/>
        <v>7884</v>
      </c>
      <c r="I191">
        <v>29.437000000000001</v>
      </c>
      <c r="J191">
        <f t="shared" si="7"/>
        <v>3659.502</v>
      </c>
    </row>
    <row r="192" spans="1:10" x14ac:dyDescent="0.25">
      <c r="A192" s="2">
        <v>45773</v>
      </c>
      <c r="D192">
        <v>379.32</v>
      </c>
      <c r="E192">
        <f t="shared" si="6"/>
        <v>7504.68</v>
      </c>
      <c r="I192">
        <v>204.67699999999999</v>
      </c>
      <c r="J192">
        <f t="shared" si="7"/>
        <v>3630.0650000000001</v>
      </c>
    </row>
    <row r="193" spans="1:10" x14ac:dyDescent="0.25">
      <c r="A193" s="2">
        <v>45774</v>
      </c>
      <c r="D193">
        <v>529.66</v>
      </c>
      <c r="E193">
        <f t="shared" si="6"/>
        <v>6975.02</v>
      </c>
      <c r="I193">
        <v>161.203</v>
      </c>
      <c r="J193">
        <f t="shared" si="7"/>
        <v>3425.3879999999999</v>
      </c>
    </row>
    <row r="194" spans="1:10" x14ac:dyDescent="0.25">
      <c r="A194" s="2">
        <v>45775</v>
      </c>
      <c r="D194">
        <v>348.44</v>
      </c>
      <c r="E194">
        <f t="shared" si="6"/>
        <v>6626.5800000000008</v>
      </c>
      <c r="I194">
        <v>13</v>
      </c>
      <c r="J194">
        <f t="shared" si="7"/>
        <v>3264.1849999999999</v>
      </c>
    </row>
    <row r="195" spans="1:10" x14ac:dyDescent="0.25">
      <c r="A195" s="2">
        <v>45776</v>
      </c>
      <c r="D195">
        <v>364.71</v>
      </c>
      <c r="E195">
        <f t="shared" si="6"/>
        <v>6261.8700000000008</v>
      </c>
      <c r="I195">
        <v>217.30099999999999</v>
      </c>
      <c r="J195">
        <f t="shared" si="7"/>
        <v>3251.1849999999999</v>
      </c>
    </row>
    <row r="196" spans="1:10" x14ac:dyDescent="0.25">
      <c r="A196" s="2">
        <v>45777</v>
      </c>
      <c r="D196">
        <v>796.81</v>
      </c>
      <c r="E196">
        <f t="shared" si="6"/>
        <v>5465.0600000000013</v>
      </c>
      <c r="I196">
        <v>90.474999999999994</v>
      </c>
      <c r="J196">
        <f t="shared" si="7"/>
        <v>3033.884</v>
      </c>
    </row>
    <row r="197" spans="1:10" x14ac:dyDescent="0.25">
      <c r="A197" s="2">
        <v>45778</v>
      </c>
      <c r="C197">
        <v>676915.93</v>
      </c>
      <c r="D197">
        <v>341.72</v>
      </c>
      <c r="E197">
        <f t="shared" si="6"/>
        <v>5123.3400000000011</v>
      </c>
      <c r="H197">
        <v>86672.762000000002</v>
      </c>
      <c r="I197">
        <v>116.986</v>
      </c>
      <c r="J197">
        <f t="shared" si="7"/>
        <v>2943.4090000000001</v>
      </c>
    </row>
    <row r="198" spans="1:10" x14ac:dyDescent="0.25">
      <c r="A198" s="2">
        <v>45779</v>
      </c>
      <c r="C198">
        <v>677115.36</v>
      </c>
      <c r="D198">
        <f>C198-C197</f>
        <v>199.42999999993481</v>
      </c>
      <c r="E198">
        <f t="shared" si="6"/>
        <v>4923.9100000000662</v>
      </c>
      <c r="H198">
        <v>86720.084000000003</v>
      </c>
      <c r="I198">
        <v>47.32</v>
      </c>
      <c r="J198">
        <f t="shared" si="7"/>
        <v>2826.4230000000002</v>
      </c>
    </row>
    <row r="199" spans="1:10" x14ac:dyDescent="0.25">
      <c r="A199" s="2">
        <v>45780</v>
      </c>
      <c r="C199">
        <v>677361.09</v>
      </c>
      <c r="D199">
        <v>245.7</v>
      </c>
      <c r="E199">
        <f t="shared" si="6"/>
        <v>4678.2100000000664</v>
      </c>
      <c r="H199">
        <v>86801.832999999999</v>
      </c>
      <c r="I199">
        <v>81.75</v>
      </c>
      <c r="J199">
        <f t="shared" si="7"/>
        <v>2779.1030000000001</v>
      </c>
    </row>
    <row r="200" spans="1:10" x14ac:dyDescent="0.25">
      <c r="A200" s="2">
        <v>45781</v>
      </c>
      <c r="C200">
        <v>677849.48</v>
      </c>
      <c r="D200">
        <v>488.4</v>
      </c>
      <c r="E200">
        <f t="shared" si="6"/>
        <v>4189.8100000000668</v>
      </c>
      <c r="H200">
        <v>86842.767999999996</v>
      </c>
      <c r="I200">
        <v>40.94</v>
      </c>
      <c r="J200">
        <f t="shared" si="7"/>
        <v>2697.3530000000001</v>
      </c>
    </row>
    <row r="201" spans="1:10" x14ac:dyDescent="0.25">
      <c r="A201" s="2">
        <v>45782</v>
      </c>
      <c r="C201">
        <v>678511.39</v>
      </c>
      <c r="D201">
        <v>661.9</v>
      </c>
      <c r="E201">
        <f t="shared" si="6"/>
        <v>3527.9100000000667</v>
      </c>
      <c r="H201">
        <v>86936.68</v>
      </c>
      <c r="I201">
        <v>93.91</v>
      </c>
      <c r="J201">
        <f t="shared" si="7"/>
        <v>2656.413</v>
      </c>
    </row>
    <row r="202" spans="1:10" x14ac:dyDescent="0.25">
      <c r="A202" s="2">
        <v>45783</v>
      </c>
      <c r="C202">
        <v>679167.04</v>
      </c>
      <c r="D202">
        <v>655.6</v>
      </c>
      <c r="E202">
        <f t="shared" si="6"/>
        <v>2872.3100000000668</v>
      </c>
      <c r="H202">
        <v>87068.536999999997</v>
      </c>
      <c r="I202">
        <v>131.86000000000001</v>
      </c>
      <c r="J202">
        <f t="shared" si="7"/>
        <v>2562.5030000000002</v>
      </c>
    </row>
    <row r="204" spans="1:10" x14ac:dyDescent="0.25">
      <c r="A204" s="2">
        <v>45938</v>
      </c>
      <c r="C204">
        <v>750597.97</v>
      </c>
      <c r="D204">
        <v>749954</v>
      </c>
      <c r="E204">
        <f t="shared" si="6"/>
        <v>-749954</v>
      </c>
      <c r="H204">
        <v>5375.0050000000001</v>
      </c>
      <c r="I204">
        <f>H204-H203</f>
        <v>5375.0050000000001</v>
      </c>
      <c r="J204">
        <v>5047</v>
      </c>
    </row>
    <row r="205" spans="1:10" x14ac:dyDescent="0.25">
      <c r="A205" s="2">
        <v>45939</v>
      </c>
      <c r="C205">
        <v>751151.6</v>
      </c>
      <c r="D205">
        <f t="shared" ref="D205:D210" si="8">C205-C204</f>
        <v>553.63000000000466</v>
      </c>
      <c r="E205">
        <f t="shared" si="6"/>
        <v>-750507.63</v>
      </c>
      <c r="H205">
        <v>5594.7240000000002</v>
      </c>
      <c r="I205">
        <f t="shared" ref="I205:I210" si="9">H205-H204</f>
        <v>219.71900000000005</v>
      </c>
      <c r="J205">
        <f t="shared" si="7"/>
        <v>-328.00500000000011</v>
      </c>
    </row>
    <row r="206" spans="1:10" x14ac:dyDescent="0.25">
      <c r="A206" s="2">
        <v>45940</v>
      </c>
      <c r="D206">
        <f t="shared" si="8"/>
        <v>-751151.6</v>
      </c>
      <c r="E206">
        <f t="shared" si="6"/>
        <v>643.96999999997206</v>
      </c>
      <c r="H206">
        <v>5801.0550000000003</v>
      </c>
      <c r="I206">
        <f t="shared" si="9"/>
        <v>206.33100000000013</v>
      </c>
      <c r="J206">
        <f t="shared" si="7"/>
        <v>-547.72400000000016</v>
      </c>
    </row>
    <row r="207" spans="1:10" x14ac:dyDescent="0.25">
      <c r="D207">
        <f t="shared" si="8"/>
        <v>0</v>
      </c>
      <c r="E207">
        <f t="shared" si="6"/>
        <v>643.96999999997206</v>
      </c>
      <c r="I207">
        <f t="shared" si="9"/>
        <v>-5801.0550000000003</v>
      </c>
      <c r="J207">
        <f t="shared" si="7"/>
        <v>-754.05500000000029</v>
      </c>
    </row>
    <row r="208" spans="1:10" x14ac:dyDescent="0.25">
      <c r="D208">
        <f t="shared" si="8"/>
        <v>0</v>
      </c>
      <c r="E208">
        <f t="shared" si="6"/>
        <v>643.96999999997206</v>
      </c>
      <c r="I208">
        <f t="shared" si="9"/>
        <v>0</v>
      </c>
      <c r="J208">
        <f t="shared" si="7"/>
        <v>5047</v>
      </c>
    </row>
    <row r="209" spans="1:11" x14ac:dyDescent="0.25">
      <c r="D209">
        <f t="shared" si="8"/>
        <v>0</v>
      </c>
      <c r="E209">
        <f t="shared" si="6"/>
        <v>643.96999999997206</v>
      </c>
      <c r="I209">
        <f t="shared" si="9"/>
        <v>0</v>
      </c>
      <c r="J209">
        <f t="shared" si="7"/>
        <v>5047</v>
      </c>
    </row>
    <row r="210" spans="1:11" x14ac:dyDescent="0.25">
      <c r="D210">
        <f t="shared" si="8"/>
        <v>0</v>
      </c>
      <c r="E210">
        <f t="shared" si="6"/>
        <v>643.96999999997206</v>
      </c>
      <c r="I210">
        <f t="shared" si="9"/>
        <v>0</v>
      </c>
      <c r="J210">
        <f t="shared" si="7"/>
        <v>5047</v>
      </c>
    </row>
    <row r="212" spans="1:11" x14ac:dyDescent="0.25">
      <c r="A212" s="2">
        <v>45953</v>
      </c>
      <c r="B212">
        <v>5275</v>
      </c>
      <c r="C212">
        <v>757305.63</v>
      </c>
      <c r="D212">
        <v>757825.29</v>
      </c>
      <c r="E212">
        <f>C212-D212</f>
        <v>-519.6600000000326</v>
      </c>
      <c r="F212">
        <f>B212+E212</f>
        <v>4755.3399999999674</v>
      </c>
      <c r="H212">
        <v>8281.19</v>
      </c>
      <c r="I212">
        <v>8574.3989999999994</v>
      </c>
    </row>
    <row r="213" spans="1:11" x14ac:dyDescent="0.25">
      <c r="A213" s="2">
        <v>45954</v>
      </c>
      <c r="C213">
        <v>758167.73</v>
      </c>
      <c r="D213">
        <v>757305.63</v>
      </c>
      <c r="E213">
        <f>C213-D213</f>
        <v>862.09999999997672</v>
      </c>
      <c r="F213">
        <f>B213+E213</f>
        <v>862.09999999997672</v>
      </c>
      <c r="G213">
        <v>5000</v>
      </c>
      <c r="H213">
        <v>718890.72</v>
      </c>
    </row>
    <row r="214" spans="1:11" s="3" customFormat="1" x14ac:dyDescent="0.25">
      <c r="A214" s="4">
        <v>46076</v>
      </c>
      <c r="D214" s="3">
        <v>7353</v>
      </c>
      <c r="F214" s="3">
        <f>D214-E214</f>
        <v>7353</v>
      </c>
      <c r="G214" s="3">
        <v>7088</v>
      </c>
      <c r="I214" s="3">
        <f>G214-H214</f>
        <v>7088</v>
      </c>
    </row>
    <row r="215" spans="1:11" x14ac:dyDescent="0.25">
      <c r="A215" s="2">
        <v>46078</v>
      </c>
      <c r="D215">
        <v>7353</v>
      </c>
      <c r="E215">
        <v>756.95</v>
      </c>
      <c r="F215">
        <f t="shared" ref="F215:F230" si="10">D215-E215</f>
        <v>6596.05</v>
      </c>
      <c r="G215">
        <v>7088</v>
      </c>
      <c r="H215">
        <v>1015.106</v>
      </c>
      <c r="I215">
        <f t="shared" ref="I215:I230" si="11">G215-H215</f>
        <v>6072.8940000000002</v>
      </c>
    </row>
    <row r="216" spans="1:11" x14ac:dyDescent="0.25">
      <c r="A216" s="2">
        <v>46079</v>
      </c>
      <c r="D216">
        <v>6596.05</v>
      </c>
      <c r="E216">
        <v>298</v>
      </c>
      <c r="F216">
        <f t="shared" si="10"/>
        <v>6298.05</v>
      </c>
      <c r="G216">
        <v>6072.8940000000002</v>
      </c>
      <c r="H216">
        <v>510.971</v>
      </c>
      <c r="I216">
        <f t="shared" si="11"/>
        <v>5561.9230000000007</v>
      </c>
    </row>
    <row r="217" spans="1:11" x14ac:dyDescent="0.25">
      <c r="A217" s="2">
        <v>46080</v>
      </c>
      <c r="D217">
        <v>6298.05</v>
      </c>
      <c r="E217">
        <v>332.21</v>
      </c>
      <c r="F217">
        <f t="shared" si="10"/>
        <v>5965.84</v>
      </c>
      <c r="G217">
        <v>5561.9230000000007</v>
      </c>
      <c r="H217">
        <v>331.84800000000001</v>
      </c>
      <c r="I217">
        <f t="shared" si="11"/>
        <v>5230.0750000000007</v>
      </c>
      <c r="J217">
        <f>H217-I217</f>
        <v>-4898.2270000000008</v>
      </c>
      <c r="K217">
        <f>G217+J217</f>
        <v>663.69599999999991</v>
      </c>
    </row>
    <row r="218" spans="1:11" x14ac:dyDescent="0.25">
      <c r="A218" s="2">
        <v>46081</v>
      </c>
      <c r="D218">
        <v>5965.84</v>
      </c>
      <c r="E218">
        <v>330.52</v>
      </c>
      <c r="F218">
        <f t="shared" si="10"/>
        <v>5635.32</v>
      </c>
      <c r="G218">
        <v>5230.0750000000007</v>
      </c>
      <c r="H218">
        <v>258.40800000000002</v>
      </c>
      <c r="I218">
        <f t="shared" si="11"/>
        <v>4971.6670000000004</v>
      </c>
      <c r="J218">
        <f>H218-I218</f>
        <v>-4713.259</v>
      </c>
      <c r="K218">
        <f>G218+J218</f>
        <v>516.81600000000071</v>
      </c>
    </row>
    <row r="219" spans="1:11" x14ac:dyDescent="0.25">
      <c r="A219" s="2">
        <v>46083</v>
      </c>
      <c r="D219">
        <v>5635.32</v>
      </c>
      <c r="E219">
        <v>903.89</v>
      </c>
      <c r="F219">
        <f t="shared" si="10"/>
        <v>4731.4299999999994</v>
      </c>
      <c r="G219">
        <v>4971.6670000000004</v>
      </c>
      <c r="H219">
        <v>403.42200000000003</v>
      </c>
      <c r="I219">
        <f t="shared" si="11"/>
        <v>4568.2450000000008</v>
      </c>
      <c r="J219">
        <f>H219-I219</f>
        <v>-4164.8230000000003</v>
      </c>
    </row>
    <row r="220" spans="1:11" x14ac:dyDescent="0.25">
      <c r="A220" s="2">
        <v>46084</v>
      </c>
      <c r="D220">
        <v>4731.43</v>
      </c>
      <c r="E220">
        <v>379.6</v>
      </c>
      <c r="F220">
        <f t="shared" si="10"/>
        <v>4351.83</v>
      </c>
      <c r="G220">
        <v>4568.2449999999999</v>
      </c>
      <c r="H220">
        <v>813.93</v>
      </c>
      <c r="I220">
        <f t="shared" si="11"/>
        <v>3754.3150000000001</v>
      </c>
    </row>
    <row r="221" spans="1:11" x14ac:dyDescent="0.25">
      <c r="A221" s="2">
        <v>46085</v>
      </c>
      <c r="D221">
        <v>4351.83</v>
      </c>
      <c r="E221">
        <v>612.41999999999996</v>
      </c>
      <c r="F221">
        <f t="shared" si="10"/>
        <v>3739.41</v>
      </c>
      <c r="G221">
        <v>3754.3150000000001</v>
      </c>
      <c r="H221">
        <v>609.55399999999997</v>
      </c>
      <c r="I221">
        <f t="shared" si="11"/>
        <v>3144.761</v>
      </c>
    </row>
    <row r="222" spans="1:11" x14ac:dyDescent="0.25">
      <c r="A222" s="2">
        <v>46086</v>
      </c>
      <c r="D222">
        <v>3739.41</v>
      </c>
      <c r="E222">
        <v>269.82</v>
      </c>
      <c r="F222">
        <f t="shared" si="10"/>
        <v>3469.5899999999997</v>
      </c>
      <c r="G222">
        <v>3144.761</v>
      </c>
      <c r="H222">
        <v>416.54899999999998</v>
      </c>
      <c r="I222">
        <f t="shared" si="11"/>
        <v>2728.212</v>
      </c>
    </row>
    <row r="223" spans="1:11" x14ac:dyDescent="0.25">
      <c r="A223" s="2">
        <v>46087</v>
      </c>
      <c r="D223">
        <v>3469.59</v>
      </c>
      <c r="E223">
        <v>318.82</v>
      </c>
      <c r="F223">
        <f t="shared" si="10"/>
        <v>3150.77</v>
      </c>
      <c r="G223">
        <v>2728.212</v>
      </c>
      <c r="H223">
        <v>436.947</v>
      </c>
      <c r="I223">
        <f t="shared" si="11"/>
        <v>2291.2649999999999</v>
      </c>
    </row>
    <row r="224" spans="1:11" x14ac:dyDescent="0.25">
      <c r="A224" s="2">
        <v>46088</v>
      </c>
      <c r="D224">
        <v>3150.77</v>
      </c>
      <c r="E224">
        <v>334.86</v>
      </c>
      <c r="F224">
        <f t="shared" si="10"/>
        <v>2815.91</v>
      </c>
      <c r="G224">
        <v>2291.2649999999999</v>
      </c>
      <c r="H224">
        <v>322.64499999999998</v>
      </c>
      <c r="I224">
        <f t="shared" si="11"/>
        <v>1968.62</v>
      </c>
    </row>
    <row r="225" spans="1:10" x14ac:dyDescent="0.25">
      <c r="A225" s="2">
        <v>46089</v>
      </c>
      <c r="D225">
        <v>2815.91</v>
      </c>
      <c r="E225">
        <v>821.11</v>
      </c>
      <c r="F225">
        <f t="shared" si="10"/>
        <v>1994.7999999999997</v>
      </c>
      <c r="G225">
        <v>1968.62</v>
      </c>
      <c r="H225">
        <v>186.52199999999999</v>
      </c>
      <c r="I225">
        <f t="shared" si="11"/>
        <v>1782.098</v>
      </c>
    </row>
    <row r="226" spans="1:10" x14ac:dyDescent="0.25">
      <c r="A226" s="2">
        <v>46091</v>
      </c>
      <c r="D226">
        <v>1994.8</v>
      </c>
      <c r="E226">
        <v>287.08999999999997</v>
      </c>
      <c r="F226">
        <f t="shared" si="10"/>
        <v>1707.71</v>
      </c>
      <c r="G226">
        <v>1782.098</v>
      </c>
      <c r="H226">
        <v>144.33600000000001</v>
      </c>
      <c r="I226">
        <f t="shared" si="11"/>
        <v>1637.7619999999999</v>
      </c>
    </row>
    <row r="227" spans="1:10" x14ac:dyDescent="0.25">
      <c r="A227" s="2">
        <v>46092</v>
      </c>
      <c r="D227">
        <v>1707.71</v>
      </c>
      <c r="E227">
        <v>753.48</v>
      </c>
      <c r="F227">
        <f t="shared" si="10"/>
        <v>954.23</v>
      </c>
      <c r="G227">
        <v>1637.7619999999999</v>
      </c>
      <c r="H227">
        <v>356.11099999999999</v>
      </c>
      <c r="I227">
        <f t="shared" si="11"/>
        <v>1281.6509999999998</v>
      </c>
    </row>
    <row r="228" spans="1:10" x14ac:dyDescent="0.25">
      <c r="A228" s="2">
        <v>46093</v>
      </c>
      <c r="D228">
        <v>954.23</v>
      </c>
      <c r="E228">
        <v>252.91</v>
      </c>
      <c r="F228">
        <f t="shared" si="10"/>
        <v>701.32</v>
      </c>
      <c r="G228">
        <v>1281.6509999999998</v>
      </c>
      <c r="H228">
        <v>149.49</v>
      </c>
      <c r="I228">
        <f t="shared" si="11"/>
        <v>1132.1609999999998</v>
      </c>
    </row>
    <row r="229" spans="1:10" x14ac:dyDescent="0.25">
      <c r="A229" s="2">
        <v>46094</v>
      </c>
      <c r="D229">
        <v>701.32</v>
      </c>
      <c r="E229">
        <v>263.23</v>
      </c>
      <c r="F229">
        <f t="shared" si="10"/>
        <v>438.09000000000003</v>
      </c>
      <c r="G229">
        <v>1132.1609999999998</v>
      </c>
      <c r="H229">
        <v>148.26</v>
      </c>
      <c r="I229">
        <f t="shared" si="11"/>
        <v>983.90099999999984</v>
      </c>
    </row>
    <row r="230" spans="1:10" x14ac:dyDescent="0.25">
      <c r="A230" s="2">
        <v>46094</v>
      </c>
      <c r="B230" s="3" t="s">
        <v>41</v>
      </c>
      <c r="C230" s="3">
        <v>5000</v>
      </c>
      <c r="D230" s="3">
        <v>5438.09</v>
      </c>
      <c r="F230" s="3">
        <f t="shared" si="10"/>
        <v>5438.09</v>
      </c>
      <c r="G230" s="3">
        <v>3983.9009999999998</v>
      </c>
      <c r="I230" s="3">
        <f t="shared" si="11"/>
        <v>3983.9009999999998</v>
      </c>
      <c r="J230" s="3">
        <v>3000</v>
      </c>
    </row>
    <row r="231" spans="1:10" x14ac:dyDescent="0.25">
      <c r="A231" s="2">
        <v>46095</v>
      </c>
      <c r="D231">
        <v>5438.09</v>
      </c>
      <c r="E231">
        <v>386.66</v>
      </c>
      <c r="F231">
        <f t="shared" ref="F231:F256" si="12">D231-E231</f>
        <v>5051.43</v>
      </c>
      <c r="G231">
        <v>3983.9009999999998</v>
      </c>
      <c r="H231">
        <v>933.82</v>
      </c>
      <c r="I231">
        <f t="shared" ref="I231:I257" si="13">G231-H231</f>
        <v>3050.0809999999997</v>
      </c>
    </row>
    <row r="232" spans="1:10" x14ac:dyDescent="0.25">
      <c r="A232" s="2">
        <v>46096</v>
      </c>
      <c r="D232">
        <v>5051.43</v>
      </c>
      <c r="E232">
        <v>274.94</v>
      </c>
      <c r="F232">
        <f t="shared" si="12"/>
        <v>4776.4900000000007</v>
      </c>
      <c r="G232">
        <v>3050.0810000000001</v>
      </c>
      <c r="H232">
        <v>182.48</v>
      </c>
      <c r="I232">
        <f t="shared" si="13"/>
        <v>2867.6010000000001</v>
      </c>
    </row>
    <row r="233" spans="1:10" x14ac:dyDescent="0.25">
      <c r="A233" s="2">
        <v>46097</v>
      </c>
      <c r="D233">
        <v>4776.49</v>
      </c>
      <c r="E233">
        <v>389.26</v>
      </c>
      <c r="F233">
        <f t="shared" si="12"/>
        <v>4387.2299999999996</v>
      </c>
      <c r="G233">
        <v>2867.6010000000001</v>
      </c>
      <c r="H233">
        <v>668.35</v>
      </c>
      <c r="I233">
        <f t="shared" si="13"/>
        <v>2199.2510000000002</v>
      </c>
    </row>
    <row r="234" spans="1:10" x14ac:dyDescent="0.25">
      <c r="A234" s="2">
        <v>46098</v>
      </c>
      <c r="D234">
        <v>4387.2299999999996</v>
      </c>
      <c r="E234">
        <v>329.31</v>
      </c>
      <c r="F234">
        <f t="shared" si="12"/>
        <v>4057.9199999999996</v>
      </c>
      <c r="G234">
        <v>2199.2510000000002</v>
      </c>
      <c r="H234">
        <v>182.41</v>
      </c>
      <c r="I234">
        <f t="shared" si="13"/>
        <v>2016.8410000000001</v>
      </c>
    </row>
    <row r="235" spans="1:10" x14ac:dyDescent="0.25">
      <c r="A235" s="2">
        <v>46099</v>
      </c>
      <c r="D235">
        <v>4057.92</v>
      </c>
      <c r="E235">
        <v>712.93</v>
      </c>
      <c r="F235">
        <f t="shared" si="12"/>
        <v>3344.9900000000002</v>
      </c>
      <c r="G235">
        <v>2016.8409999999999</v>
      </c>
      <c r="H235">
        <v>1072.3</v>
      </c>
      <c r="I235">
        <f t="shared" si="13"/>
        <v>944.54099999999994</v>
      </c>
    </row>
    <row r="236" spans="1:10" x14ac:dyDescent="0.25">
      <c r="A236" s="2">
        <v>46100</v>
      </c>
      <c r="C236" s="3">
        <v>2000</v>
      </c>
      <c r="D236">
        <v>5344.99</v>
      </c>
      <c r="E236">
        <v>242.8</v>
      </c>
      <c r="F236">
        <f t="shared" si="12"/>
        <v>5102.1899999999996</v>
      </c>
      <c r="G236">
        <v>6944.5410000000002</v>
      </c>
      <c r="H236">
        <v>241.173</v>
      </c>
      <c r="I236">
        <v>8703.3680000000004</v>
      </c>
      <c r="J236" s="3">
        <v>8000</v>
      </c>
    </row>
    <row r="237" spans="1:10" x14ac:dyDescent="0.25">
      <c r="A237" s="2">
        <v>46101</v>
      </c>
      <c r="D237">
        <v>5102.1899999999996</v>
      </c>
      <c r="E237">
        <v>272.7</v>
      </c>
      <c r="F237">
        <f t="shared" si="12"/>
        <v>4829.49</v>
      </c>
      <c r="G237">
        <v>8703.3680000000004</v>
      </c>
      <c r="H237">
        <v>280.3</v>
      </c>
      <c r="I237">
        <f t="shared" si="13"/>
        <v>8423.0680000000011</v>
      </c>
    </row>
    <row r="238" spans="1:10" x14ac:dyDescent="0.25">
      <c r="A238" s="2">
        <v>46102</v>
      </c>
      <c r="D238">
        <v>4829.49</v>
      </c>
      <c r="E238">
        <v>191.89</v>
      </c>
      <c r="F238">
        <f t="shared" si="12"/>
        <v>4637.5999999999995</v>
      </c>
      <c r="G238">
        <v>8423.0679999999993</v>
      </c>
      <c r="H238">
        <v>164.2</v>
      </c>
      <c r="I238">
        <f t="shared" si="13"/>
        <v>8258.8679999999986</v>
      </c>
    </row>
    <row r="239" spans="1:10" x14ac:dyDescent="0.25">
      <c r="A239" s="2">
        <v>46103</v>
      </c>
      <c r="D239">
        <v>4637.6000000000004</v>
      </c>
      <c r="E239">
        <v>369.14</v>
      </c>
      <c r="F239">
        <f t="shared" si="12"/>
        <v>4268.46</v>
      </c>
      <c r="G239">
        <v>8258.8680000000004</v>
      </c>
      <c r="H239">
        <v>225.6</v>
      </c>
      <c r="I239">
        <f t="shared" si="13"/>
        <v>8033.268</v>
      </c>
    </row>
    <row r="240" spans="1:10" x14ac:dyDescent="0.25">
      <c r="A240" s="2">
        <v>46104</v>
      </c>
      <c r="D240">
        <v>4268.46</v>
      </c>
      <c r="E240">
        <v>350.08</v>
      </c>
      <c r="F240">
        <f t="shared" si="12"/>
        <v>3918.38</v>
      </c>
      <c r="G240">
        <v>8033.268</v>
      </c>
      <c r="H240">
        <v>34.049999999999997</v>
      </c>
      <c r="I240">
        <f t="shared" si="13"/>
        <v>7999.2179999999998</v>
      </c>
    </row>
    <row r="241" spans="1:17" x14ac:dyDescent="0.25">
      <c r="A241" s="2">
        <v>46105</v>
      </c>
      <c r="D241">
        <v>3918.38</v>
      </c>
      <c r="E241">
        <v>366.52</v>
      </c>
      <c r="F241">
        <f t="shared" si="12"/>
        <v>3551.86</v>
      </c>
      <c r="G241">
        <v>7999.2179999999998</v>
      </c>
      <c r="H241">
        <v>118.27</v>
      </c>
      <c r="I241">
        <f t="shared" si="13"/>
        <v>7880.9479999999994</v>
      </c>
    </row>
    <row r="242" spans="1:17" x14ac:dyDescent="0.25">
      <c r="A242" s="2">
        <v>46106</v>
      </c>
      <c r="D242">
        <v>3551.86</v>
      </c>
      <c r="E242">
        <v>822.38</v>
      </c>
      <c r="F242">
        <f t="shared" si="12"/>
        <v>2729.48</v>
      </c>
      <c r="G242">
        <v>7880.9480000000003</v>
      </c>
      <c r="H242">
        <v>226.10499999999999</v>
      </c>
      <c r="I242">
        <f t="shared" si="13"/>
        <v>7654.8430000000008</v>
      </c>
    </row>
    <row r="243" spans="1:17" x14ac:dyDescent="0.25">
      <c r="A243" s="2">
        <v>46107</v>
      </c>
      <c r="D243">
        <v>2729.48</v>
      </c>
      <c r="E243">
        <v>374.17</v>
      </c>
      <c r="F243">
        <f t="shared" si="12"/>
        <v>2355.31</v>
      </c>
      <c r="G243">
        <v>7654.8429999999998</v>
      </c>
      <c r="H243">
        <v>133.56</v>
      </c>
      <c r="I243">
        <f t="shared" si="13"/>
        <v>7521.2829999999994</v>
      </c>
    </row>
    <row r="244" spans="1:17" x14ac:dyDescent="0.25">
      <c r="A244" s="2">
        <v>46108</v>
      </c>
      <c r="D244">
        <v>2355.31</v>
      </c>
      <c r="E244">
        <v>238.14</v>
      </c>
      <c r="F244">
        <f t="shared" si="12"/>
        <v>2117.17</v>
      </c>
      <c r="G244">
        <v>7521.2830000000004</v>
      </c>
      <c r="H244">
        <v>698.76199999999994</v>
      </c>
      <c r="I244">
        <f t="shared" si="13"/>
        <v>6822.5210000000006</v>
      </c>
    </row>
    <row r="245" spans="1:17" x14ac:dyDescent="0.25">
      <c r="A245" s="2">
        <v>46109</v>
      </c>
      <c r="D245">
        <v>2117.17</v>
      </c>
      <c r="E245">
        <v>368.55</v>
      </c>
      <c r="F245">
        <f t="shared" si="12"/>
        <v>1748.6200000000001</v>
      </c>
      <c r="G245">
        <v>6822.5209999999997</v>
      </c>
      <c r="H245">
        <v>434.14400000000001</v>
      </c>
      <c r="I245">
        <f t="shared" si="13"/>
        <v>6388.3769999999995</v>
      </c>
    </row>
    <row r="246" spans="1:17" x14ac:dyDescent="0.25">
      <c r="A246" s="2">
        <v>46110</v>
      </c>
      <c r="D246">
        <v>1748.62</v>
      </c>
      <c r="E246">
        <v>372.02</v>
      </c>
      <c r="F246">
        <f t="shared" si="12"/>
        <v>1376.6</v>
      </c>
      <c r="G246">
        <v>6388.277</v>
      </c>
      <c r="H246">
        <v>545.73</v>
      </c>
      <c r="I246">
        <f t="shared" si="13"/>
        <v>5842.5470000000005</v>
      </c>
    </row>
    <row r="247" spans="1:17" x14ac:dyDescent="0.25">
      <c r="A247" s="2">
        <v>46111</v>
      </c>
      <c r="D247">
        <v>1376.6</v>
      </c>
      <c r="E247">
        <v>340.75</v>
      </c>
      <c r="F247">
        <f t="shared" si="12"/>
        <v>1035.8499999999999</v>
      </c>
      <c r="G247">
        <v>5842.5469999999996</v>
      </c>
      <c r="H247">
        <v>674.27</v>
      </c>
      <c r="I247">
        <f t="shared" si="13"/>
        <v>5168.277</v>
      </c>
    </row>
    <row r="248" spans="1:17" x14ac:dyDescent="0.25">
      <c r="A248" s="2">
        <v>46112</v>
      </c>
      <c r="D248">
        <v>1035.8499999999999</v>
      </c>
      <c r="E248">
        <v>388.28</v>
      </c>
      <c r="F248">
        <f t="shared" si="12"/>
        <v>647.56999999999994</v>
      </c>
      <c r="G248">
        <v>5168.277</v>
      </c>
      <c r="H248">
        <v>395.18299999999999</v>
      </c>
      <c r="I248">
        <f t="shared" si="13"/>
        <v>4773.0940000000001</v>
      </c>
    </row>
    <row r="249" spans="1:17" x14ac:dyDescent="0.25">
      <c r="A249" s="2">
        <v>46113</v>
      </c>
      <c r="D249">
        <v>647.57000000000005</v>
      </c>
      <c r="E249">
        <v>165.78</v>
      </c>
      <c r="F249">
        <f t="shared" si="12"/>
        <v>481.79000000000008</v>
      </c>
      <c r="G249">
        <v>4773.0940000000001</v>
      </c>
      <c r="H249">
        <v>962.63300000000004</v>
      </c>
      <c r="I249">
        <f t="shared" si="13"/>
        <v>3810.4610000000002</v>
      </c>
      <c r="K249" t="s">
        <v>44</v>
      </c>
      <c r="L249" t="s">
        <v>43</v>
      </c>
      <c r="M249" t="s">
        <v>2</v>
      </c>
      <c r="N249" t="s">
        <v>45</v>
      </c>
      <c r="O249" t="s">
        <v>4</v>
      </c>
      <c r="P249" t="s">
        <v>0</v>
      </c>
    </row>
    <row r="250" spans="1:17" x14ac:dyDescent="0.25">
      <c r="A250" s="2">
        <v>46115</v>
      </c>
      <c r="C250">
        <v>10000</v>
      </c>
      <c r="D250">
        <v>10481.790000000001</v>
      </c>
      <c r="F250">
        <f t="shared" si="12"/>
        <v>10481.790000000001</v>
      </c>
      <c r="I250">
        <f t="shared" si="13"/>
        <v>0</v>
      </c>
      <c r="J250" t="s">
        <v>47</v>
      </c>
      <c r="K250">
        <v>10000</v>
      </c>
      <c r="L250">
        <v>182</v>
      </c>
      <c r="M250">
        <f>K250*L250</f>
        <v>1820000</v>
      </c>
      <c r="N250">
        <v>20000</v>
      </c>
      <c r="O250">
        <f>M250-N250</f>
        <v>1800000</v>
      </c>
      <c r="P250" s="2">
        <v>46115</v>
      </c>
    </row>
    <row r="251" spans="1:17" x14ac:dyDescent="0.25">
      <c r="A251" s="2">
        <v>46116</v>
      </c>
      <c r="D251">
        <v>10481.790000000001</v>
      </c>
      <c r="E251">
        <v>226.95</v>
      </c>
      <c r="F251">
        <f t="shared" si="12"/>
        <v>10254.84</v>
      </c>
      <c r="I251">
        <f t="shared" si="13"/>
        <v>0</v>
      </c>
      <c r="M251">
        <v>1800000</v>
      </c>
      <c r="N251">
        <v>200000</v>
      </c>
      <c r="O251">
        <f t="shared" ref="O251:O279" si="14">M251-N251</f>
        <v>1600000</v>
      </c>
      <c r="P251" s="2">
        <v>46116</v>
      </c>
      <c r="Q251" t="s">
        <v>42</v>
      </c>
    </row>
    <row r="252" spans="1:17" x14ac:dyDescent="0.25">
      <c r="A252" s="2">
        <v>46147</v>
      </c>
      <c r="D252">
        <v>10254.84</v>
      </c>
      <c r="E252">
        <v>233.35</v>
      </c>
      <c r="F252">
        <f t="shared" si="12"/>
        <v>10021.49</v>
      </c>
      <c r="G252">
        <v>3810.4609999999998</v>
      </c>
      <c r="H252">
        <v>931.49199999999996</v>
      </c>
      <c r="I252">
        <f t="shared" si="13"/>
        <v>2878.9690000000001</v>
      </c>
      <c r="M252">
        <v>1600000</v>
      </c>
      <c r="N252">
        <v>200000</v>
      </c>
      <c r="O252">
        <f t="shared" si="14"/>
        <v>1400000</v>
      </c>
      <c r="P252" s="2">
        <v>46119</v>
      </c>
      <c r="Q252" t="s">
        <v>9</v>
      </c>
    </row>
    <row r="253" spans="1:17" x14ac:dyDescent="0.25">
      <c r="A253" s="2">
        <v>46118</v>
      </c>
      <c r="D253">
        <v>10021.49</v>
      </c>
      <c r="E253">
        <v>209.64</v>
      </c>
      <c r="F253">
        <f t="shared" si="12"/>
        <v>9811.85</v>
      </c>
      <c r="G253">
        <v>2878.9690000000001</v>
      </c>
      <c r="H253">
        <v>235.51599999999999</v>
      </c>
      <c r="I253">
        <f t="shared" si="13"/>
        <v>2643.453</v>
      </c>
      <c r="M253">
        <v>1400000</v>
      </c>
      <c r="N253">
        <v>133000</v>
      </c>
      <c r="O253">
        <f t="shared" si="14"/>
        <v>1267000</v>
      </c>
      <c r="P253" s="2">
        <v>46120</v>
      </c>
      <c r="Q253" t="s">
        <v>46</v>
      </c>
    </row>
    <row r="254" spans="1:17" x14ac:dyDescent="0.25">
      <c r="A254" s="2">
        <v>46119</v>
      </c>
      <c r="D254">
        <v>9811.85</v>
      </c>
      <c r="E254">
        <v>232.85</v>
      </c>
      <c r="F254">
        <f t="shared" si="12"/>
        <v>9579</v>
      </c>
      <c r="G254">
        <v>2643.453</v>
      </c>
      <c r="H254">
        <v>471.56799999999998</v>
      </c>
      <c r="I254">
        <f t="shared" si="13"/>
        <v>2171.8850000000002</v>
      </c>
      <c r="O254">
        <f t="shared" si="14"/>
        <v>0</v>
      </c>
    </row>
    <row r="255" spans="1:17" x14ac:dyDescent="0.25">
      <c r="A255" s="2">
        <v>46120</v>
      </c>
      <c r="D255">
        <v>9579</v>
      </c>
      <c r="E255">
        <v>651.98</v>
      </c>
      <c r="F255">
        <f t="shared" si="12"/>
        <v>8927.02</v>
      </c>
      <c r="G255">
        <v>2643.453</v>
      </c>
      <c r="H255">
        <v>978.37699999999995</v>
      </c>
      <c r="I255">
        <f t="shared" si="13"/>
        <v>1665.076</v>
      </c>
      <c r="O255">
        <f t="shared" si="14"/>
        <v>0</v>
      </c>
    </row>
    <row r="256" spans="1:17" x14ac:dyDescent="0.25">
      <c r="A256" s="2">
        <v>46121</v>
      </c>
      <c r="D256">
        <v>8927.02</v>
      </c>
      <c r="E256">
        <v>440.46</v>
      </c>
      <c r="F256">
        <f t="shared" si="12"/>
        <v>8486.5600000000013</v>
      </c>
      <c r="G256">
        <v>1665.076</v>
      </c>
      <c r="H256">
        <v>104.48399999999999</v>
      </c>
      <c r="I256">
        <f t="shared" si="13"/>
        <v>1560.5920000000001</v>
      </c>
      <c r="O256">
        <f t="shared" si="14"/>
        <v>0</v>
      </c>
    </row>
    <row r="257" spans="9:15" x14ac:dyDescent="0.25">
      <c r="I257">
        <f t="shared" si="13"/>
        <v>0</v>
      </c>
      <c r="O257">
        <f t="shared" si="14"/>
        <v>0</v>
      </c>
    </row>
    <row r="258" spans="9:15" x14ac:dyDescent="0.25">
      <c r="O258">
        <f t="shared" si="14"/>
        <v>0</v>
      </c>
    </row>
    <row r="259" spans="9:15" x14ac:dyDescent="0.25">
      <c r="O259">
        <f t="shared" si="14"/>
        <v>0</v>
      </c>
    </row>
    <row r="260" spans="9:15" x14ac:dyDescent="0.25">
      <c r="O260">
        <f t="shared" si="14"/>
        <v>0</v>
      </c>
    </row>
    <row r="261" spans="9:15" x14ac:dyDescent="0.25">
      <c r="O261">
        <f t="shared" si="14"/>
        <v>0</v>
      </c>
    </row>
    <row r="262" spans="9:15" x14ac:dyDescent="0.25">
      <c r="O262">
        <f t="shared" si="14"/>
        <v>0</v>
      </c>
    </row>
    <row r="263" spans="9:15" x14ac:dyDescent="0.25">
      <c r="O263">
        <f t="shared" si="14"/>
        <v>0</v>
      </c>
    </row>
    <row r="264" spans="9:15" x14ac:dyDescent="0.25">
      <c r="O264">
        <f t="shared" si="14"/>
        <v>0</v>
      </c>
    </row>
    <row r="265" spans="9:15" x14ac:dyDescent="0.25">
      <c r="O265">
        <f t="shared" si="14"/>
        <v>0</v>
      </c>
    </row>
    <row r="266" spans="9:15" x14ac:dyDescent="0.25">
      <c r="O266">
        <f t="shared" si="14"/>
        <v>0</v>
      </c>
    </row>
    <row r="267" spans="9:15" x14ac:dyDescent="0.25">
      <c r="O267">
        <f t="shared" si="14"/>
        <v>0</v>
      </c>
    </row>
    <row r="268" spans="9:15" x14ac:dyDescent="0.25">
      <c r="O268">
        <f t="shared" si="14"/>
        <v>0</v>
      </c>
    </row>
    <row r="269" spans="9:15" x14ac:dyDescent="0.25">
      <c r="O269">
        <f t="shared" si="14"/>
        <v>0</v>
      </c>
    </row>
    <row r="270" spans="9:15" x14ac:dyDescent="0.25">
      <c r="O270">
        <f t="shared" si="14"/>
        <v>0</v>
      </c>
    </row>
    <row r="271" spans="9:15" x14ac:dyDescent="0.25">
      <c r="O271">
        <f t="shared" si="14"/>
        <v>0</v>
      </c>
    </row>
    <row r="272" spans="9:15" x14ac:dyDescent="0.25">
      <c r="O272">
        <f t="shared" si="14"/>
        <v>0</v>
      </c>
    </row>
    <row r="273" spans="15:15" x14ac:dyDescent="0.25">
      <c r="O273">
        <f t="shared" si="14"/>
        <v>0</v>
      </c>
    </row>
    <row r="274" spans="15:15" x14ac:dyDescent="0.25">
      <c r="O274">
        <f t="shared" si="14"/>
        <v>0</v>
      </c>
    </row>
    <row r="275" spans="15:15" x14ac:dyDescent="0.25">
      <c r="O275">
        <f t="shared" si="14"/>
        <v>0</v>
      </c>
    </row>
    <row r="276" spans="15:15" x14ac:dyDescent="0.25">
      <c r="O276">
        <f t="shared" si="14"/>
        <v>0</v>
      </c>
    </row>
    <row r="277" spans="15:15" x14ac:dyDescent="0.25">
      <c r="O277">
        <f t="shared" si="14"/>
        <v>0</v>
      </c>
    </row>
    <row r="278" spans="15:15" x14ac:dyDescent="0.25">
      <c r="O278">
        <f t="shared" si="14"/>
        <v>0</v>
      </c>
    </row>
    <row r="279" spans="15:15" x14ac:dyDescent="0.25">
      <c r="O279">
        <f t="shared" si="14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Mugendi</dc:creator>
  <cp:lastModifiedBy>Mugendi</cp:lastModifiedBy>
  <dcterms:created xsi:type="dcterms:W3CDTF">2024-08-27T06:05:05Z</dcterms:created>
  <dcterms:modified xsi:type="dcterms:W3CDTF">2026-04-09T07:14:49Z</dcterms:modified>
</cp:coreProperties>
</file>