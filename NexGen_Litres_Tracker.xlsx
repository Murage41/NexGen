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 Sales by Shift" sheetId="1" state="visible" r:id="rId1"/>
    <sheet xmlns:r="http://schemas.openxmlformats.org/officeDocument/2006/relationships" name="Fuel Deliveries" sheetId="2" state="visible" r:id="rId2"/>
    <sheet xmlns:r="http://schemas.openxmlformats.org/officeDocument/2006/relationships" name="Daily Stock Summary" sheetId="3" state="visible" r:id="rId3"/>
    <sheet xmlns:r="http://schemas.openxmlformats.org/officeDocument/2006/relationships" name="Tank Stock Ledger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386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2E75B6"/>
      <sz val="9"/>
    </font>
    <font>
      <name val="Arial"/>
      <i val="1"/>
      <color rgb="00375623"/>
      <sz val="9"/>
    </font>
    <font>
      <name val="Arial"/>
      <i val="1"/>
      <color rgb="00C55A11"/>
      <sz val="9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i val="1"/>
      <color rgb="00595959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DEBD0"/>
      </patternFill>
    </fill>
    <fill>
      <patternFill patternType="solid">
        <fgColor rgb="00D6E4BC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/>
    </xf>
    <xf numFmtId="0" fontId="1" fillId="7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4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6" customWidth="1" min="3" max="3"/>
    <col width="18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 ht="24" customHeight="1">
      <c r="A1" s="1" t="inlineStr">
        <is>
          <t>NEXGEN PETROL STATION — PUMP LITRES TRACKER</t>
        </is>
      </c>
    </row>
    <row r="2" ht="13" customHeight="1">
      <c r="A2" s="2" t="inlineStr">
        <is>
          <t>All closed shifts  |  Generated: 09 Apr 2026</t>
        </is>
      </c>
    </row>
    <row r="3" ht="18" customHeight="1">
      <c r="A3" s="3" t="inlineStr">
        <is>
          <t>Date</t>
        </is>
      </c>
      <c r="B3" s="3" t="inlineStr">
        <is>
          <t>Shift #</t>
        </is>
      </c>
      <c r="C3" s="3" t="inlineStr">
        <is>
          <t>Employee</t>
        </is>
      </c>
      <c r="D3" s="3" t="inlineStr">
        <is>
          <t>Pump / Nozzle</t>
        </is>
      </c>
      <c r="E3" s="3" t="inlineStr">
        <is>
          <t>Fuel Type</t>
        </is>
      </c>
      <c r="F3" s="3" t="inlineStr">
        <is>
          <t>Opening (L)</t>
        </is>
      </c>
      <c r="G3" s="3" t="inlineStr">
        <is>
          <t>Closing (L)</t>
        </is>
      </c>
      <c r="H3" s="3" t="inlineStr">
        <is>
          <t>Litres Sold</t>
        </is>
      </c>
      <c r="I3" s="3" t="inlineStr">
        <is>
          <t>Revenue (KES)</t>
        </is>
      </c>
    </row>
    <row r="4">
      <c r="A4" s="4" t="n">
        <v>46101</v>
      </c>
      <c r="B4" s="5" t="n">
        <v>1</v>
      </c>
      <c r="C4" s="6" t="inlineStr">
        <is>
          <t>Kanini</t>
        </is>
      </c>
      <c r="D4" s="5" t="inlineStr">
        <is>
          <t>Diesel Pump</t>
        </is>
      </c>
      <c r="E4" s="5" t="inlineStr">
        <is>
          <t>DIESEL</t>
        </is>
      </c>
      <c r="F4" s="7" t="n">
        <v>55604.313</v>
      </c>
      <c r="G4" s="7" t="n">
        <v>55768.5</v>
      </c>
      <c r="H4" s="7" t="n">
        <v>164.1869999999981</v>
      </c>
      <c r="I4" s="7" t="n">
        <v>28371.92999999999</v>
      </c>
    </row>
    <row r="5">
      <c r="A5" s="8" t="n">
        <v>46101</v>
      </c>
      <c r="B5" s="9" t="n">
        <v>1</v>
      </c>
      <c r="C5" s="10" t="inlineStr">
        <is>
          <t>Kanini</t>
        </is>
      </c>
      <c r="D5" s="9" t="inlineStr">
        <is>
          <t>Petro Pump</t>
        </is>
      </c>
      <c r="E5" s="9" t="inlineStr">
        <is>
          <t>PETROL</t>
        </is>
      </c>
      <c r="F5" s="11" t="n">
        <v>820676.52</v>
      </c>
      <c r="G5" s="11" t="n">
        <v>820868.41</v>
      </c>
      <c r="H5" s="11" t="n">
        <v>191.890000000014</v>
      </c>
      <c r="I5" s="11" t="n">
        <v>35199</v>
      </c>
    </row>
    <row r="6">
      <c r="A6" s="4" t="n">
        <v>46102</v>
      </c>
      <c r="B6" s="5" t="n">
        <v>2</v>
      </c>
      <c r="C6" s="6" t="inlineStr">
        <is>
          <t>Francis</t>
        </is>
      </c>
      <c r="D6" s="5" t="inlineStr">
        <is>
          <t>Diesel Pump</t>
        </is>
      </c>
      <c r="E6" s="5" t="inlineStr">
        <is>
          <t>DIESEL</t>
        </is>
      </c>
      <c r="F6" s="7" t="n">
        <v>55768.5</v>
      </c>
      <c r="G6" s="7" t="n">
        <v>55994.066</v>
      </c>
      <c r="H6" s="7" t="n">
        <v>225.5659999999989</v>
      </c>
      <c r="I6" s="7" t="n">
        <v>38977.44</v>
      </c>
    </row>
    <row r="7">
      <c r="A7" s="8" t="n">
        <v>46102</v>
      </c>
      <c r="B7" s="9" t="n">
        <v>2</v>
      </c>
      <c r="C7" s="10" t="inlineStr">
        <is>
          <t>Francis</t>
        </is>
      </c>
      <c r="D7" s="9" t="inlineStr">
        <is>
          <t>Petro Pump</t>
        </is>
      </c>
      <c r="E7" s="9" t="inlineStr">
        <is>
          <t>PETROL</t>
        </is>
      </c>
      <c r="F7" s="11" t="n">
        <v>820868.41</v>
      </c>
      <c r="G7" s="11" t="n">
        <v>821237.55</v>
      </c>
      <c r="H7" s="11" t="n">
        <v>369.140000000014</v>
      </c>
      <c r="I7" s="11" t="n">
        <v>67138.40999999992</v>
      </c>
    </row>
    <row r="8">
      <c r="A8" s="4" t="n">
        <v>46104</v>
      </c>
      <c r="B8" s="5" t="n">
        <v>3</v>
      </c>
      <c r="C8" s="6" t="inlineStr">
        <is>
          <t>Kanini</t>
        </is>
      </c>
      <c r="D8" s="5" t="inlineStr">
        <is>
          <t>Diesel Pump</t>
        </is>
      </c>
      <c r="E8" s="5" t="inlineStr">
        <is>
          <t>DIESEL</t>
        </is>
      </c>
      <c r="F8" s="7" t="n">
        <v>55994.066</v>
      </c>
      <c r="G8" s="7" t="n">
        <v>56028.12</v>
      </c>
      <c r="H8" s="7" t="n">
        <v>34.05400000000373</v>
      </c>
      <c r="I8" s="7" t="n">
        <v>5884</v>
      </c>
    </row>
    <row r="9">
      <c r="A9" s="8" t="n">
        <v>46104</v>
      </c>
      <c r="B9" s="9" t="n">
        <v>3</v>
      </c>
      <c r="C9" s="10" t="inlineStr">
        <is>
          <t>Kanini</t>
        </is>
      </c>
      <c r="D9" s="9" t="inlineStr">
        <is>
          <t>Petro Pump</t>
        </is>
      </c>
      <c r="E9" s="9" t="inlineStr">
        <is>
          <t>PETROL</t>
        </is>
      </c>
      <c r="F9" s="11" t="n">
        <v>821237.55</v>
      </c>
      <c r="G9" s="11" t="n">
        <v>821587.63</v>
      </c>
      <c r="H9" s="11" t="n">
        <v>350.0799999999581</v>
      </c>
      <c r="I9" s="11" t="n">
        <v>64235</v>
      </c>
    </row>
    <row r="10">
      <c r="A10" s="4" t="n">
        <v>46104</v>
      </c>
      <c r="B10" s="5" t="n">
        <v>4</v>
      </c>
      <c r="C10" s="6" t="inlineStr">
        <is>
          <t>Francis</t>
        </is>
      </c>
      <c r="D10" s="5" t="inlineStr">
        <is>
          <t>Diesel Pump</t>
        </is>
      </c>
      <c r="E10" s="5" t="inlineStr">
        <is>
          <t>DIESEL</t>
        </is>
      </c>
      <c r="F10" s="7" t="n">
        <v>56028.12</v>
      </c>
      <c r="G10" s="7" t="n">
        <v>56146.39</v>
      </c>
      <c r="H10" s="7" t="n">
        <v>118.2699999999968</v>
      </c>
      <c r="I10" s="7" t="n">
        <v>20437.64000000001</v>
      </c>
    </row>
    <row r="11">
      <c r="A11" s="8" t="n">
        <v>46104</v>
      </c>
      <c r="B11" s="9" t="n">
        <v>4</v>
      </c>
      <c r="C11" s="10" t="inlineStr">
        <is>
          <t>Francis</t>
        </is>
      </c>
      <c r="D11" s="9" t="inlineStr">
        <is>
          <t>Petro Pump</t>
        </is>
      </c>
      <c r="E11" s="9" t="inlineStr">
        <is>
          <t>PETROL</t>
        </is>
      </c>
      <c r="F11" s="11" t="n">
        <v>821587.63</v>
      </c>
      <c r="G11" s="11" t="n">
        <v>821954.15</v>
      </c>
      <c r="H11" s="11" t="n">
        <v>366.5200000000186</v>
      </c>
      <c r="I11" s="11" t="n">
        <v>67137.44999999995</v>
      </c>
    </row>
    <row r="12">
      <c r="A12" s="4" t="n">
        <v>46106</v>
      </c>
      <c r="B12" s="5" t="n">
        <v>5</v>
      </c>
      <c r="C12" s="6" t="inlineStr">
        <is>
          <t>Kanini</t>
        </is>
      </c>
      <c r="D12" s="5" t="inlineStr">
        <is>
          <t>Diesel Pump</t>
        </is>
      </c>
      <c r="E12" s="5" t="inlineStr">
        <is>
          <t>DIESEL</t>
        </is>
      </c>
      <c r="F12" s="7" t="n">
        <v>56146.39</v>
      </c>
      <c r="G12" s="7" t="n">
        <v>56372.495</v>
      </c>
      <c r="H12" s="7" t="n">
        <v>226.1050000000032</v>
      </c>
      <c r="I12" s="7" t="n">
        <v>39070.88</v>
      </c>
    </row>
    <row r="13">
      <c r="A13" s="8" t="n">
        <v>46106</v>
      </c>
      <c r="B13" s="9" t="n">
        <v>5</v>
      </c>
      <c r="C13" s="10" t="inlineStr">
        <is>
          <t>Kanini</t>
        </is>
      </c>
      <c r="D13" s="9" t="inlineStr">
        <is>
          <t>Petro Pump</t>
        </is>
      </c>
      <c r="E13" s="9" t="inlineStr">
        <is>
          <t>PETROL</t>
        </is>
      </c>
      <c r="F13" s="11" t="n">
        <v>821954.15</v>
      </c>
      <c r="G13" s="11" t="n">
        <v>822776.53</v>
      </c>
      <c r="H13" s="11" t="n">
        <v>822.3800000000047</v>
      </c>
      <c r="I13" s="11" t="n">
        <v>150780.52</v>
      </c>
    </row>
    <row r="14">
      <c r="A14" s="4" t="n">
        <v>46106</v>
      </c>
      <c r="B14" s="5" t="n">
        <v>6</v>
      </c>
      <c r="C14" s="6" t="inlineStr">
        <is>
          <t>Francis</t>
        </is>
      </c>
      <c r="D14" s="5" t="inlineStr">
        <is>
          <t>Diesel Pump</t>
        </is>
      </c>
      <c r="E14" s="5" t="inlineStr">
        <is>
          <t>DIESEL</t>
        </is>
      </c>
      <c r="F14" s="7" t="n">
        <v>56372.495</v>
      </c>
      <c r="G14" s="7" t="n">
        <v>56506.059</v>
      </c>
      <c r="H14" s="7" t="n">
        <v>133.5639999999985</v>
      </c>
      <c r="I14" s="7" t="n">
        <v>23080</v>
      </c>
    </row>
    <row r="15">
      <c r="A15" s="8" t="n">
        <v>46106</v>
      </c>
      <c r="B15" s="9" t="n">
        <v>6</v>
      </c>
      <c r="C15" s="10" t="inlineStr">
        <is>
          <t>Francis</t>
        </is>
      </c>
      <c r="D15" s="9" t="inlineStr">
        <is>
          <t>Petro Pump</t>
        </is>
      </c>
      <c r="E15" s="9" t="inlineStr">
        <is>
          <t>PETROL</t>
        </is>
      </c>
      <c r="F15" s="11" t="n">
        <v>822776.53</v>
      </c>
      <c r="G15" s="11" t="n">
        <v>823150.7</v>
      </c>
      <c r="H15" s="11" t="n">
        <v>374.1699999999255</v>
      </c>
      <c r="I15" s="11" t="n">
        <v>68245</v>
      </c>
    </row>
    <row r="16">
      <c r="A16" s="4" t="n">
        <v>46107</v>
      </c>
      <c r="B16" s="5" t="n">
        <v>7</v>
      </c>
      <c r="C16" s="6" t="inlineStr">
        <is>
          <t>Kanini</t>
        </is>
      </c>
      <c r="D16" s="5" t="inlineStr">
        <is>
          <t>Diesel Pump</t>
        </is>
      </c>
      <c r="E16" s="5" t="inlineStr">
        <is>
          <t>DIESEL</t>
        </is>
      </c>
      <c r="F16" s="7" t="n">
        <v>56506.059</v>
      </c>
      <c r="G16" s="7" t="n">
        <v>57204.81</v>
      </c>
      <c r="H16" s="7" t="n">
        <v>698.7509999999966</v>
      </c>
      <c r="I16" s="7" t="n">
        <v>120746</v>
      </c>
    </row>
    <row r="17">
      <c r="A17" s="8" t="n">
        <v>46107</v>
      </c>
      <c r="B17" s="9" t="n">
        <v>7</v>
      </c>
      <c r="C17" s="10" t="inlineStr">
        <is>
          <t>Kanini</t>
        </is>
      </c>
      <c r="D17" s="9" t="inlineStr">
        <is>
          <t>Petro Pump</t>
        </is>
      </c>
      <c r="E17" s="9" t="inlineStr">
        <is>
          <t>PETROL</t>
        </is>
      </c>
      <c r="F17" s="11" t="n">
        <v>823150.7</v>
      </c>
      <c r="G17" s="11" t="n">
        <v>823388.84</v>
      </c>
      <c r="H17" s="11" t="n">
        <v>238.140000000014</v>
      </c>
      <c r="I17" s="11" t="n">
        <v>43700.23999999999</v>
      </c>
    </row>
    <row r="18">
      <c r="A18" s="4" t="n">
        <v>46108</v>
      </c>
      <c r="B18" s="5" t="n">
        <v>8</v>
      </c>
      <c r="C18" s="6" t="inlineStr">
        <is>
          <t>Francis</t>
        </is>
      </c>
      <c r="D18" s="5" t="inlineStr">
        <is>
          <t>Diesel Pump</t>
        </is>
      </c>
      <c r="E18" s="5" t="inlineStr">
        <is>
          <t>DIESEL</t>
        </is>
      </c>
      <c r="F18" s="7" t="n">
        <v>57204.81</v>
      </c>
      <c r="G18" s="7" t="n">
        <v>57638.965</v>
      </c>
      <c r="H18" s="7" t="n">
        <v>434.1549999999988</v>
      </c>
      <c r="I18" s="7" t="n">
        <v>75020</v>
      </c>
    </row>
    <row r="19">
      <c r="A19" s="8" t="n">
        <v>46108</v>
      </c>
      <c r="B19" s="9" t="n">
        <v>8</v>
      </c>
      <c r="C19" s="10" t="inlineStr">
        <is>
          <t>Francis</t>
        </is>
      </c>
      <c r="D19" s="9" t="inlineStr">
        <is>
          <t>Petro Pump</t>
        </is>
      </c>
      <c r="E19" s="9" t="inlineStr">
        <is>
          <t>PETROL</t>
        </is>
      </c>
      <c r="F19" s="11" t="n">
        <v>823388.84</v>
      </c>
      <c r="G19" s="11" t="n">
        <v>823757.39</v>
      </c>
      <c r="H19" s="11" t="n">
        <v>368.5500000000466</v>
      </c>
      <c r="I19" s="11" t="n">
        <v>66665.63000000012</v>
      </c>
    </row>
    <row r="20">
      <c r="A20" s="4" t="n">
        <v>46109</v>
      </c>
      <c r="B20" s="5" t="n">
        <v>9</v>
      </c>
      <c r="C20" s="6" t="inlineStr">
        <is>
          <t>Kanini</t>
        </is>
      </c>
      <c r="D20" s="5" t="inlineStr">
        <is>
          <t>Diesel Pump</t>
        </is>
      </c>
      <c r="E20" s="5" t="inlineStr">
        <is>
          <t>DIESEL</t>
        </is>
      </c>
      <c r="F20" s="7" t="n">
        <v>57638.965</v>
      </c>
      <c r="G20" s="7" t="n">
        <v>58183.729</v>
      </c>
      <c r="H20" s="7" t="n">
        <v>544.7640000000029</v>
      </c>
      <c r="I20" s="7" t="n">
        <v>94134.98999999999</v>
      </c>
    </row>
    <row r="21">
      <c r="A21" s="8" t="n">
        <v>46109</v>
      </c>
      <c r="B21" s="9" t="n">
        <v>9</v>
      </c>
      <c r="C21" s="10" t="inlineStr">
        <is>
          <t>Kanini</t>
        </is>
      </c>
      <c r="D21" s="9" t="inlineStr">
        <is>
          <t>Petro Pump</t>
        </is>
      </c>
      <c r="E21" s="9" t="inlineStr">
        <is>
          <t>PETROL</t>
        </is>
      </c>
      <c r="F21" s="11" t="n">
        <v>823757.39</v>
      </c>
      <c r="G21" s="11" t="n">
        <v>824129.41</v>
      </c>
      <c r="H21" s="11" t="n">
        <v>372.0200000000186</v>
      </c>
      <c r="I21" s="11" t="n">
        <v>68206.29000000004</v>
      </c>
    </row>
    <row r="22">
      <c r="A22" s="4" t="n">
        <v>46111</v>
      </c>
      <c r="B22" s="5" t="n">
        <v>10</v>
      </c>
      <c r="C22" s="6" t="inlineStr">
        <is>
          <t>Francis</t>
        </is>
      </c>
      <c r="D22" s="5" t="inlineStr">
        <is>
          <t>Diesel Pump</t>
        </is>
      </c>
      <c r="E22" s="5" t="inlineStr">
        <is>
          <t>DIESEL</t>
        </is>
      </c>
      <c r="F22" s="7" t="n">
        <v>58183.729</v>
      </c>
      <c r="G22" s="7" t="n">
        <v>58858.85</v>
      </c>
      <c r="H22" s="7" t="n">
        <v>675.1209999999992</v>
      </c>
      <c r="I22" s="7" t="n">
        <v>116660</v>
      </c>
    </row>
    <row r="23">
      <c r="A23" s="8" t="n">
        <v>46111</v>
      </c>
      <c r="B23" s="9" t="n">
        <v>10</v>
      </c>
      <c r="C23" s="10" t="inlineStr">
        <is>
          <t>Francis</t>
        </is>
      </c>
      <c r="D23" s="9" t="inlineStr">
        <is>
          <t>Petro Pump</t>
        </is>
      </c>
      <c r="E23" s="9" t="inlineStr">
        <is>
          <t>PETROL</t>
        </is>
      </c>
      <c r="F23" s="11" t="n">
        <v>824129.41</v>
      </c>
      <c r="G23" s="11" t="n">
        <v>824470.16</v>
      </c>
      <c r="H23" s="11" t="n">
        <v>340.75</v>
      </c>
      <c r="I23" s="11" t="n">
        <v>62506.94999999995</v>
      </c>
    </row>
    <row r="24">
      <c r="A24" s="4" t="n">
        <v>46111</v>
      </c>
      <c r="B24" s="5" t="n">
        <v>11</v>
      </c>
      <c r="C24" s="6" t="inlineStr">
        <is>
          <t>Kanini</t>
        </is>
      </c>
      <c r="D24" s="5" t="inlineStr">
        <is>
          <t>Diesel Pump</t>
        </is>
      </c>
      <c r="E24" s="5" t="inlineStr">
        <is>
          <t>DIESEL</t>
        </is>
      </c>
      <c r="F24" s="7" t="n">
        <v>58858.85</v>
      </c>
      <c r="G24" s="7" t="n">
        <v>59254.033</v>
      </c>
      <c r="H24" s="7" t="n">
        <v>395.1830000000045</v>
      </c>
      <c r="I24" s="7" t="n">
        <v>68288.47999999998</v>
      </c>
    </row>
    <row r="25">
      <c r="A25" s="8" t="n">
        <v>46111</v>
      </c>
      <c r="B25" s="9" t="n">
        <v>11</v>
      </c>
      <c r="C25" s="10" t="inlineStr">
        <is>
          <t>Kanini</t>
        </is>
      </c>
      <c r="D25" s="9" t="inlineStr">
        <is>
          <t>Petro Pump</t>
        </is>
      </c>
      <c r="E25" s="9" t="inlineStr">
        <is>
          <t>PETROL</t>
        </is>
      </c>
      <c r="F25" s="11" t="n">
        <v>824470.16</v>
      </c>
      <c r="G25" s="11" t="n">
        <v>824858.4399999999</v>
      </c>
      <c r="H25" s="11" t="n">
        <v>388.2799999999115</v>
      </c>
      <c r="I25" s="11" t="n">
        <v>71170.85999999987</v>
      </c>
    </row>
    <row r="26">
      <c r="A26" s="4" t="n">
        <v>46112</v>
      </c>
      <c r="B26" s="5" t="n">
        <v>12</v>
      </c>
      <c r="C26" s="6" t="inlineStr">
        <is>
          <t>Francis</t>
        </is>
      </c>
      <c r="D26" s="5" t="inlineStr">
        <is>
          <t>Diesel Pump</t>
        </is>
      </c>
      <c r="E26" s="5" t="inlineStr">
        <is>
          <t>DIESEL</t>
        </is>
      </c>
      <c r="F26" s="7" t="n">
        <v>59254.033</v>
      </c>
      <c r="G26" s="7" t="n">
        <v>59254.033</v>
      </c>
      <c r="H26" s="7" t="n">
        <v>0</v>
      </c>
      <c r="I26" s="7" t="n">
        <v>0</v>
      </c>
    </row>
    <row r="27">
      <c r="A27" s="8" t="n">
        <v>46112</v>
      </c>
      <c r="B27" s="9" t="n">
        <v>12</v>
      </c>
      <c r="C27" s="10" t="inlineStr">
        <is>
          <t>Francis</t>
        </is>
      </c>
      <c r="D27" s="9" t="inlineStr">
        <is>
          <t>Petro Pump</t>
        </is>
      </c>
      <c r="E27" s="9" t="inlineStr">
        <is>
          <t>PETROL</t>
        </is>
      </c>
      <c r="F27" s="11" t="n">
        <v>824858.4399999999</v>
      </c>
      <c r="G27" s="11" t="n">
        <v>824858.4399999999</v>
      </c>
      <c r="H27" s="11" t="n">
        <v>0</v>
      </c>
      <c r="I27" s="11" t="n">
        <v>0</v>
      </c>
    </row>
    <row r="28">
      <c r="A28" s="4" t="n">
        <v>46112</v>
      </c>
      <c r="B28" s="5" t="n">
        <v>13</v>
      </c>
      <c r="C28" s="6" t="inlineStr">
        <is>
          <t>Francis</t>
        </is>
      </c>
      <c r="D28" s="5" t="inlineStr">
        <is>
          <t>Diesel Pump</t>
        </is>
      </c>
      <c r="E28" s="5" t="inlineStr">
        <is>
          <t>DIESEL</t>
        </is>
      </c>
      <c r="F28" s="7" t="n">
        <v>59254.033</v>
      </c>
      <c r="G28" s="7" t="n">
        <v>60216.666</v>
      </c>
      <c r="H28" s="7" t="n">
        <v>962.6329999999944</v>
      </c>
      <c r="I28" s="7" t="n">
        <v>166342.7300000001</v>
      </c>
    </row>
    <row r="29">
      <c r="A29" s="8" t="n">
        <v>46112</v>
      </c>
      <c r="B29" s="9" t="n">
        <v>13</v>
      </c>
      <c r="C29" s="10" t="inlineStr">
        <is>
          <t>Francis</t>
        </is>
      </c>
      <c r="D29" s="9" t="inlineStr">
        <is>
          <t>Petro Pump</t>
        </is>
      </c>
      <c r="E29" s="9" t="inlineStr">
        <is>
          <t>PETROL</t>
        </is>
      </c>
      <c r="F29" s="11" t="n">
        <v>824858.4399999999</v>
      </c>
      <c r="G29" s="11" t="n">
        <v>825024.22</v>
      </c>
      <c r="H29" s="11" t="n">
        <v>165.7800000000279</v>
      </c>
      <c r="I29" s="11" t="n">
        <v>30410.13000000012</v>
      </c>
    </row>
    <row r="30">
      <c r="A30" s="4" t="n">
        <v>46119</v>
      </c>
      <c r="B30" s="5" t="n">
        <v>14</v>
      </c>
      <c r="C30" s="6" t="inlineStr">
        <is>
          <t>Kanini</t>
        </is>
      </c>
      <c r="D30" s="5" t="inlineStr">
        <is>
          <t>Diesel Pump</t>
        </is>
      </c>
      <c r="E30" s="5" t="inlineStr">
        <is>
          <t>DIESEL</t>
        </is>
      </c>
      <c r="F30" s="7" t="n">
        <v>60216.666</v>
      </c>
      <c r="G30" s="7" t="n">
        <v>60216.666</v>
      </c>
      <c r="H30" s="7" t="n">
        <v>0</v>
      </c>
      <c r="I30" s="7" t="n">
        <v>0</v>
      </c>
    </row>
    <row r="31">
      <c r="A31" s="8" t="n">
        <v>46119</v>
      </c>
      <c r="B31" s="9" t="n">
        <v>14</v>
      </c>
      <c r="C31" s="10" t="inlineStr">
        <is>
          <t>Kanini</t>
        </is>
      </c>
      <c r="D31" s="9" t="inlineStr">
        <is>
          <t>Petro Pump</t>
        </is>
      </c>
      <c r="E31" s="9" t="inlineStr">
        <is>
          <t>PETROL</t>
        </is>
      </c>
      <c r="F31" s="11" t="n">
        <v>825024.22</v>
      </c>
      <c r="G31" s="11" t="n">
        <v>825251.17</v>
      </c>
      <c r="H31" s="11" t="n">
        <v>226.9500000000698</v>
      </c>
      <c r="I31" s="11" t="n">
        <v>44389.25</v>
      </c>
    </row>
    <row r="32">
      <c r="A32" s="4" t="n">
        <v>46119</v>
      </c>
      <c r="B32" s="5" t="n">
        <v>15</v>
      </c>
      <c r="C32" s="6" t="inlineStr">
        <is>
          <t>Francis</t>
        </is>
      </c>
      <c r="D32" s="5" t="inlineStr">
        <is>
          <t>Diesel Pump</t>
        </is>
      </c>
      <c r="E32" s="5" t="inlineStr">
        <is>
          <t>DIESEL</t>
        </is>
      </c>
      <c r="F32" s="7" t="n">
        <v>60216.666</v>
      </c>
      <c r="G32" s="7" t="n">
        <v>61148.152</v>
      </c>
      <c r="H32" s="7" t="n">
        <v>931.4860000000044</v>
      </c>
      <c r="I32" s="7" t="n">
        <v>172325.01</v>
      </c>
    </row>
    <row r="33">
      <c r="A33" s="8" t="n">
        <v>46119</v>
      </c>
      <c r="B33" s="9" t="n">
        <v>15</v>
      </c>
      <c r="C33" s="10" t="inlineStr">
        <is>
          <t>Francis</t>
        </is>
      </c>
      <c r="D33" s="9" t="inlineStr">
        <is>
          <t>Petro Pump</t>
        </is>
      </c>
      <c r="E33" s="9" t="inlineStr">
        <is>
          <t>PETROL</t>
        </is>
      </c>
      <c r="F33" s="11" t="n">
        <v>825251.17</v>
      </c>
      <c r="G33" s="11" t="n">
        <v>825484.52</v>
      </c>
      <c r="H33" s="11" t="n">
        <v>233.3499999999767</v>
      </c>
      <c r="I33" s="11" t="n">
        <v>45403.19999999995</v>
      </c>
    </row>
    <row r="34">
      <c r="A34" s="4" t="n">
        <v>46119</v>
      </c>
      <c r="B34" s="5" t="n">
        <v>16</v>
      </c>
      <c r="C34" s="6" t="inlineStr">
        <is>
          <t>Kanini</t>
        </is>
      </c>
      <c r="D34" s="5" t="inlineStr">
        <is>
          <t>Diesel Pump</t>
        </is>
      </c>
      <c r="E34" s="5" t="inlineStr">
        <is>
          <t>DIESEL</t>
        </is>
      </c>
      <c r="F34" s="7" t="n">
        <v>61148.152</v>
      </c>
      <c r="G34" s="7" t="n">
        <v>61383.668</v>
      </c>
      <c r="H34" s="7" t="n">
        <v>235.515999999996</v>
      </c>
      <c r="I34" s="7" t="n">
        <v>43570.27000000002</v>
      </c>
    </row>
    <row r="35">
      <c r="A35" s="8" t="n">
        <v>46119</v>
      </c>
      <c r="B35" s="9" t="n">
        <v>16</v>
      </c>
      <c r="C35" s="10" t="inlineStr">
        <is>
          <t>Kanini</t>
        </is>
      </c>
      <c r="D35" s="9" t="inlineStr">
        <is>
          <t>Petro Pump</t>
        </is>
      </c>
      <c r="E35" s="9" t="inlineStr">
        <is>
          <t>PETROL</t>
        </is>
      </c>
      <c r="F35" s="11" t="n">
        <v>825484.52</v>
      </c>
      <c r="G35" s="11" t="n">
        <v>825694.16</v>
      </c>
      <c r="H35" s="11" t="n">
        <v>209.640000000014</v>
      </c>
      <c r="I35" s="11" t="n">
        <v>41062.80000000005</v>
      </c>
    </row>
    <row r="36">
      <c r="A36" s="4" t="n">
        <v>46119</v>
      </c>
      <c r="B36" s="5" t="n">
        <v>17</v>
      </c>
      <c r="C36" s="6" t="inlineStr">
        <is>
          <t>Francis</t>
        </is>
      </c>
      <c r="D36" s="5" t="inlineStr">
        <is>
          <t>Diesel Pump</t>
        </is>
      </c>
      <c r="E36" s="5" t="inlineStr">
        <is>
          <t>DIESEL</t>
        </is>
      </c>
      <c r="F36" s="7" t="n">
        <v>61383.668</v>
      </c>
      <c r="G36" s="7" t="n">
        <v>61855.236</v>
      </c>
      <c r="H36" s="7" t="n">
        <v>471.5679999999993</v>
      </c>
      <c r="I36" s="7" t="n">
        <v>87239.3899999999</v>
      </c>
    </row>
    <row r="37">
      <c r="A37" s="8" t="n">
        <v>46119</v>
      </c>
      <c r="B37" s="9" t="n">
        <v>17</v>
      </c>
      <c r="C37" s="10" t="inlineStr">
        <is>
          <t>Francis</t>
        </is>
      </c>
      <c r="D37" s="9" t="inlineStr">
        <is>
          <t>Petro Pump</t>
        </is>
      </c>
      <c r="E37" s="9" t="inlineStr">
        <is>
          <t>PETROL</t>
        </is>
      </c>
      <c r="F37" s="11" t="n">
        <v>825694.16</v>
      </c>
      <c r="G37" s="11" t="n">
        <v>825927.02</v>
      </c>
      <c r="H37" s="11" t="n">
        <v>232.859999999986</v>
      </c>
      <c r="I37" s="11" t="n">
        <v>45588.39999999991</v>
      </c>
    </row>
    <row r="38">
      <c r="A38" s="4" t="n">
        <v>46119</v>
      </c>
      <c r="B38" s="5" t="n">
        <v>18</v>
      </c>
      <c r="C38" s="6" t="inlineStr">
        <is>
          <t>Kanini</t>
        </is>
      </c>
      <c r="D38" s="5" t="inlineStr">
        <is>
          <t>Diesel Pump</t>
        </is>
      </c>
      <c r="E38" s="5" t="inlineStr">
        <is>
          <t>DIESEL</t>
        </is>
      </c>
      <c r="F38" s="7" t="n">
        <v>61855.236</v>
      </c>
      <c r="G38" s="7" t="n">
        <v>61855.236</v>
      </c>
      <c r="H38" s="7" t="n">
        <v>0</v>
      </c>
      <c r="I38" s="7" t="n">
        <v>0</v>
      </c>
    </row>
    <row r="39">
      <c r="A39" s="8" t="n">
        <v>46119</v>
      </c>
      <c r="B39" s="9" t="n">
        <v>18</v>
      </c>
      <c r="C39" s="10" t="inlineStr">
        <is>
          <t>Kanini</t>
        </is>
      </c>
      <c r="D39" s="9" t="inlineStr">
        <is>
          <t>Petro Pump</t>
        </is>
      </c>
      <c r="E39" s="9" t="inlineStr">
        <is>
          <t>PETROL</t>
        </is>
      </c>
      <c r="F39" s="11" t="n">
        <v>825927.02</v>
      </c>
      <c r="G39" s="11" t="n">
        <v>825927.02</v>
      </c>
      <c r="H39" s="11" t="n">
        <v>0</v>
      </c>
      <c r="I39" s="11" t="n">
        <v>0</v>
      </c>
    </row>
    <row r="40">
      <c r="A40" s="4" t="n">
        <v>46120</v>
      </c>
      <c r="B40" s="5" t="n">
        <v>19</v>
      </c>
      <c r="C40" s="6" t="inlineStr">
        <is>
          <t>Kanini</t>
        </is>
      </c>
      <c r="D40" s="5" t="inlineStr">
        <is>
          <t>Diesel Pump</t>
        </is>
      </c>
      <c r="E40" s="5" t="inlineStr">
        <is>
          <t>DIESEL</t>
        </is>
      </c>
      <c r="F40" s="7" t="n">
        <v>61855.236</v>
      </c>
      <c r="G40" s="7" t="n">
        <v>62833.613</v>
      </c>
      <c r="H40" s="7" t="n">
        <v>978.3770000000004</v>
      </c>
      <c r="I40" s="7" t="n">
        <v>181000.6100000001</v>
      </c>
    </row>
    <row r="41">
      <c r="A41" s="8" t="n">
        <v>46120</v>
      </c>
      <c r="B41" s="9" t="n">
        <v>19</v>
      </c>
      <c r="C41" s="10" t="inlineStr">
        <is>
          <t>Kanini</t>
        </is>
      </c>
      <c r="D41" s="9" t="inlineStr">
        <is>
          <t>Petro Pump</t>
        </is>
      </c>
      <c r="E41" s="9" t="inlineStr">
        <is>
          <t>PETROL</t>
        </is>
      </c>
      <c r="F41" s="11" t="n">
        <v>825927.02</v>
      </c>
      <c r="G41" s="11" t="n">
        <v>826578.99</v>
      </c>
      <c r="H41" s="11" t="n">
        <v>651.9699999999721</v>
      </c>
      <c r="I41" s="11" t="n">
        <v>127620.6000000001</v>
      </c>
    </row>
    <row r="42">
      <c r="A42" s="4" t="n">
        <v>46120</v>
      </c>
      <c r="B42" s="5" t="n">
        <v>20</v>
      </c>
      <c r="C42" s="6" t="inlineStr">
        <is>
          <t>Francis</t>
        </is>
      </c>
      <c r="D42" s="5" t="inlineStr">
        <is>
          <t>Diesel Pump</t>
        </is>
      </c>
      <c r="E42" s="5" t="inlineStr">
        <is>
          <t>DIESEL</t>
        </is>
      </c>
      <c r="F42" s="7" t="n">
        <v>62833.613</v>
      </c>
      <c r="G42" s="7" t="n">
        <v>62938.097</v>
      </c>
      <c r="H42" s="7" t="n">
        <v>104.484000000004</v>
      </c>
      <c r="I42" s="7" t="n">
        <v>19329.68999999994</v>
      </c>
    </row>
    <row r="43">
      <c r="A43" s="8" t="n">
        <v>46120</v>
      </c>
      <c r="B43" s="9" t="n">
        <v>20</v>
      </c>
      <c r="C43" s="10" t="inlineStr">
        <is>
          <t>Francis</t>
        </is>
      </c>
      <c r="D43" s="9" t="inlineStr">
        <is>
          <t>Petro Pump</t>
        </is>
      </c>
      <c r="E43" s="9" t="inlineStr">
        <is>
          <t>PETROL</t>
        </is>
      </c>
      <c r="F43" s="11" t="n">
        <v>826578.99</v>
      </c>
      <c r="G43" s="11" t="n">
        <v>827019.45</v>
      </c>
      <c r="H43" s="11" t="n">
        <v>440.4599999999627</v>
      </c>
      <c r="I43" s="11" t="n">
        <v>86118.44999999995</v>
      </c>
    </row>
    <row r="44">
      <c r="A44" s="12" t="inlineStr">
        <is>
          <t>TOTALS</t>
        </is>
      </c>
      <c r="F44" s="13">
        <f>SUM(F4:F43)</f>
        <v/>
      </c>
      <c r="G44" s="13">
        <f>SUM(G4:G43)</f>
        <v/>
      </c>
      <c r="H44" s="13">
        <f>SUM(H4:H43)</f>
        <v/>
      </c>
      <c r="I44" s="13">
        <f>SUM(I4:I43)</f>
        <v/>
      </c>
    </row>
  </sheetData>
  <mergeCells count="3">
    <mergeCell ref="A1:I1"/>
    <mergeCell ref="A44:E44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8" customWidth="1" min="5" max="5"/>
    <col width="18" customWidth="1" min="6" max="6"/>
    <col width="20" customWidth="1" min="7" max="7"/>
  </cols>
  <sheetData>
    <row r="1" ht="24" customHeight="1">
      <c r="A1" s="14" t="inlineStr">
        <is>
          <t>NEXGEN PETROL STATION — FUEL DELIVERIES</t>
        </is>
      </c>
    </row>
    <row r="2" ht="13" customHeight="1">
      <c r="A2" s="15" t="inlineStr">
        <is>
          <t>Source: NexGen Database  |  Generated: 09 Apr 2026</t>
        </is>
      </c>
    </row>
    <row r="3" ht="18" customHeight="1">
      <c r="A3" s="16" t="inlineStr">
        <is>
          <t>Date</t>
        </is>
      </c>
      <c r="B3" s="16" t="inlineStr">
        <is>
          <t>Tank</t>
        </is>
      </c>
      <c r="C3" s="16" t="inlineStr">
        <is>
          <t>Fuel Type</t>
        </is>
      </c>
      <c r="D3" s="16" t="inlineStr">
        <is>
          <t>Supplier</t>
        </is>
      </c>
      <c r="E3" s="16" t="inlineStr">
        <is>
          <t>Litres Received</t>
        </is>
      </c>
      <c r="F3" s="16" t="inlineStr">
        <is>
          <t>Cost/Litre (KES)</t>
        </is>
      </c>
      <c r="G3" s="16" t="inlineStr">
        <is>
          <t>Total Cost (KES)</t>
        </is>
      </c>
    </row>
    <row r="4">
      <c r="A4" s="4" t="n">
        <v>46099</v>
      </c>
      <c r="B4" s="6" t="inlineStr">
        <is>
          <t>Tank 2</t>
        </is>
      </c>
      <c r="C4" s="6" t="inlineStr">
        <is>
          <t>DIESEL</t>
        </is>
      </c>
      <c r="D4" s="6" t="inlineStr">
        <is>
          <t>mache</t>
        </is>
      </c>
      <c r="E4" s="7" t="n">
        <v>8000</v>
      </c>
      <c r="F4" s="7" t="n">
        <v>165.8</v>
      </c>
      <c r="G4" s="7" t="n">
        <v>1326400</v>
      </c>
    </row>
    <row r="5">
      <c r="A5" s="8" t="n">
        <v>46099</v>
      </c>
      <c r="B5" s="10" t="inlineStr">
        <is>
          <t>Tank 1</t>
        </is>
      </c>
      <c r="C5" s="10" t="inlineStr">
        <is>
          <t>PETROL</t>
        </is>
      </c>
      <c r="D5" s="10" t="inlineStr">
        <is>
          <t>mache</t>
        </is>
      </c>
      <c r="E5" s="11" t="n">
        <v>2000</v>
      </c>
      <c r="F5" s="11" t="n">
        <v>184.5</v>
      </c>
      <c r="G5" s="11" t="n">
        <v>369000</v>
      </c>
    </row>
    <row r="6">
      <c r="A6" s="8" t="n">
        <v>46115</v>
      </c>
      <c r="B6" s="10" t="inlineStr">
        <is>
          <t>Tank 1</t>
        </is>
      </c>
      <c r="C6" s="10" t="inlineStr">
        <is>
          <t>PETROL</t>
        </is>
      </c>
      <c r="D6" s="10" t="inlineStr">
        <is>
          <t>mache</t>
        </is>
      </c>
      <c r="E6" s="11" t="n">
        <v>10000</v>
      </c>
      <c r="F6" s="11" t="n">
        <v>184.5</v>
      </c>
      <c r="G6" s="11" t="n">
        <v>1845000</v>
      </c>
    </row>
    <row r="7">
      <c r="A7" s="17" t="inlineStr">
        <is>
          <t>TOTALS</t>
        </is>
      </c>
      <c r="E7" s="13">
        <f>SUM(E4:E6)</f>
        <v/>
      </c>
      <c r="F7" s="13">
        <f>G7/E7</f>
        <v/>
      </c>
      <c r="G7" s="13">
        <f>SUM(G4:G6)</f>
        <v/>
      </c>
    </row>
  </sheetData>
  <mergeCells count="3">
    <mergeCell ref="A7:D7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J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4" customWidth="1" min="8" max="8"/>
    <col width="14" customWidth="1" min="9" max="9"/>
    <col width="18" customWidth="1" min="10" max="10"/>
  </cols>
  <sheetData>
    <row r="1" ht="24" customHeight="1">
      <c r="A1" s="18" t="inlineStr">
        <is>
          <t>NEXGEN PETROL STATION — DAILY STOCK TRACKER</t>
        </is>
      </c>
    </row>
    <row r="2" ht="13" customHeight="1">
      <c r="A2" s="19" t="inlineStr">
        <is>
          <t>DATE | FUEL | OPENING | +DELIVERIES | TOTAL AVAILABLE | -SALES | CLOSING | VARIANCE | PRICE | REVENUE</t>
        </is>
      </c>
    </row>
    <row r="3" ht="30" customHeight="1">
      <c r="A3" s="20" t="inlineStr">
        <is>
          <t>Date</t>
        </is>
      </c>
      <c r="B3" s="20" t="inlineStr">
        <is>
          <t>Fuel Type</t>
        </is>
      </c>
      <c r="C3" s="20" t="inlineStr">
        <is>
          <t>Opening Stock (L)</t>
        </is>
      </c>
      <c r="D3" s="20" t="inlineStr">
        <is>
          <t>+ Deliveries (L)</t>
        </is>
      </c>
      <c r="E3" s="20" t="inlineStr">
        <is>
          <t>Total Available (L)</t>
        </is>
      </c>
      <c r="F3" s="20" t="inlineStr">
        <is>
          <t>Litres Sold (L)</t>
        </is>
      </c>
      <c r="G3" s="20" t="inlineStr">
        <is>
          <t>Closing Stock (L)</t>
        </is>
      </c>
      <c r="H3" s="20" t="inlineStr">
        <is>
          <t>Variance (L)</t>
        </is>
      </c>
      <c r="I3" s="20" t="inlineStr">
        <is>
          <t>Price/L (KES)</t>
        </is>
      </c>
      <c r="J3" s="20" t="inlineStr">
        <is>
          <t>Revenue (KES)</t>
        </is>
      </c>
    </row>
    <row r="4">
      <c r="A4" s="8" t="n">
        <v>46101</v>
      </c>
      <c r="B4" s="10" t="inlineStr">
        <is>
          <t>PETROL</t>
        </is>
      </c>
      <c r="C4" s="11" t="n">
        <v>820676.52</v>
      </c>
      <c r="D4" s="11" t="n">
        <v>0</v>
      </c>
      <c r="E4" s="11" t="n">
        <v>820676.52</v>
      </c>
      <c r="F4" s="11" t="n">
        <v>191.890000000014</v>
      </c>
      <c r="G4" s="11" t="n">
        <v>820484.63</v>
      </c>
      <c r="H4" s="11" t="n">
        <v>-191.890000000014</v>
      </c>
      <c r="I4" s="11" t="n">
        <v>195</v>
      </c>
      <c r="J4" s="11" t="n">
        <v>35199</v>
      </c>
    </row>
    <row r="5">
      <c r="A5" s="4" t="n">
        <v>46101</v>
      </c>
      <c r="B5" s="6" t="inlineStr">
        <is>
          <t>DIESEL</t>
        </is>
      </c>
      <c r="C5" s="7" t="n">
        <v>55604.313</v>
      </c>
      <c r="D5" s="7" t="n">
        <v>0</v>
      </c>
      <c r="E5" s="7" t="n">
        <v>55604.313</v>
      </c>
      <c r="F5" s="7" t="n">
        <v>164.1869999999981</v>
      </c>
      <c r="G5" s="7" t="n">
        <v>55440.126</v>
      </c>
      <c r="H5" s="7" t="n">
        <v>-164.1869999999981</v>
      </c>
      <c r="I5" s="7" t="n">
        <v>185</v>
      </c>
      <c r="J5" s="7" t="n">
        <v>28371.92999999999</v>
      </c>
    </row>
    <row r="6">
      <c r="A6" s="8" t="n">
        <v>46102</v>
      </c>
      <c r="B6" s="10" t="inlineStr">
        <is>
          <t>PETROL</t>
        </is>
      </c>
      <c r="C6" s="11" t="n">
        <v>820868.41</v>
      </c>
      <c r="D6" s="11" t="n">
        <v>0</v>
      </c>
      <c r="E6" s="11" t="n">
        <v>820868.41</v>
      </c>
      <c r="F6" s="11" t="n">
        <v>369.140000000014</v>
      </c>
      <c r="G6" s="11" t="n">
        <v>820499.27</v>
      </c>
      <c r="H6" s="11" t="n">
        <v>-369.140000000014</v>
      </c>
      <c r="I6" s="11" t="n">
        <v>195</v>
      </c>
      <c r="J6" s="11" t="n">
        <v>67138.40999999992</v>
      </c>
    </row>
    <row r="7">
      <c r="A7" s="4" t="n">
        <v>46102</v>
      </c>
      <c r="B7" s="6" t="inlineStr">
        <is>
          <t>DIESEL</t>
        </is>
      </c>
      <c r="C7" s="7" t="n">
        <v>55768.5</v>
      </c>
      <c r="D7" s="7" t="n">
        <v>0</v>
      </c>
      <c r="E7" s="7" t="n">
        <v>55768.5</v>
      </c>
      <c r="F7" s="7" t="n">
        <v>225.5659999999989</v>
      </c>
      <c r="G7" s="7" t="n">
        <v>55542.934</v>
      </c>
      <c r="H7" s="7" t="n">
        <v>-225.5659999999989</v>
      </c>
      <c r="I7" s="7" t="n">
        <v>185</v>
      </c>
      <c r="J7" s="7" t="n">
        <v>38977.44</v>
      </c>
    </row>
    <row r="8">
      <c r="A8" s="8" t="n">
        <v>46104</v>
      </c>
      <c r="B8" s="10" t="inlineStr">
        <is>
          <t>PETROL</t>
        </is>
      </c>
      <c r="C8" s="11" t="n">
        <v>821237.55</v>
      </c>
      <c r="D8" s="11" t="n">
        <v>0</v>
      </c>
      <c r="E8" s="11" t="n">
        <v>821237.55</v>
      </c>
      <c r="F8" s="11" t="n">
        <v>716.5999999999767</v>
      </c>
      <c r="G8" s="11" t="n">
        <v>820520.9500000001</v>
      </c>
      <c r="H8" s="11" t="n">
        <v>-716.5999999999767</v>
      </c>
      <c r="I8" s="11" t="n">
        <v>195</v>
      </c>
      <c r="J8" s="11" t="n">
        <v>131372.45</v>
      </c>
    </row>
    <row r="9">
      <c r="A9" s="4" t="n">
        <v>46104</v>
      </c>
      <c r="B9" s="6" t="inlineStr">
        <is>
          <t>DIESEL</t>
        </is>
      </c>
      <c r="C9" s="7" t="n">
        <v>55994.066</v>
      </c>
      <c r="D9" s="7" t="n">
        <v>0</v>
      </c>
      <c r="E9" s="7" t="n">
        <v>55994.066</v>
      </c>
      <c r="F9" s="7" t="n">
        <v>152.3240000000005</v>
      </c>
      <c r="G9" s="7" t="n">
        <v>55841.742</v>
      </c>
      <c r="H9" s="7" t="n">
        <v>-152.3240000000005</v>
      </c>
      <c r="I9" s="7" t="n">
        <v>185</v>
      </c>
      <c r="J9" s="7" t="n">
        <v>26321.64000000001</v>
      </c>
    </row>
    <row r="10">
      <c r="A10" s="8" t="n">
        <v>46106</v>
      </c>
      <c r="B10" s="10" t="inlineStr">
        <is>
          <t>PETROL</t>
        </is>
      </c>
      <c r="C10" s="11" t="n">
        <v>821954.15</v>
      </c>
      <c r="D10" s="11" t="n">
        <v>0</v>
      </c>
      <c r="E10" s="11" t="n">
        <v>821954.15</v>
      </c>
      <c r="F10" s="11" t="n">
        <v>1196.54999999993</v>
      </c>
      <c r="G10" s="11" t="n">
        <v>820757.6000000001</v>
      </c>
      <c r="H10" s="11" t="n">
        <v>-1196.54999999993</v>
      </c>
      <c r="I10" s="11" t="n">
        <v>195</v>
      </c>
      <c r="J10" s="11" t="n">
        <v>219025.52</v>
      </c>
    </row>
    <row r="11">
      <c r="A11" s="4" t="n">
        <v>46106</v>
      </c>
      <c r="B11" s="6" t="inlineStr">
        <is>
          <t>DIESEL</t>
        </is>
      </c>
      <c r="C11" s="7" t="n">
        <v>56146.39</v>
      </c>
      <c r="D11" s="7" t="n">
        <v>0</v>
      </c>
      <c r="E11" s="7" t="n">
        <v>56146.39</v>
      </c>
      <c r="F11" s="7" t="n">
        <v>359.6690000000017</v>
      </c>
      <c r="G11" s="7" t="n">
        <v>55786.721</v>
      </c>
      <c r="H11" s="7" t="n">
        <v>-359.6690000000017</v>
      </c>
      <c r="I11" s="7" t="n">
        <v>185</v>
      </c>
      <c r="J11" s="7" t="n">
        <v>62150.88</v>
      </c>
    </row>
    <row r="12">
      <c r="A12" s="8" t="n">
        <v>46107</v>
      </c>
      <c r="B12" s="10" t="inlineStr">
        <is>
          <t>PETROL</t>
        </is>
      </c>
      <c r="C12" s="11" t="n">
        <v>823150.7</v>
      </c>
      <c r="D12" s="11" t="n">
        <v>0</v>
      </c>
      <c r="E12" s="11" t="n">
        <v>823150.7</v>
      </c>
      <c r="F12" s="11" t="n">
        <v>238.140000000014</v>
      </c>
      <c r="G12" s="11" t="n">
        <v>822912.5599999999</v>
      </c>
      <c r="H12" s="11" t="n">
        <v>-238.140000000014</v>
      </c>
      <c r="I12" s="11" t="n">
        <v>195</v>
      </c>
      <c r="J12" s="11" t="n">
        <v>43700.23999999999</v>
      </c>
    </row>
    <row r="13">
      <c r="A13" s="4" t="n">
        <v>46107</v>
      </c>
      <c r="B13" s="6" t="inlineStr">
        <is>
          <t>DIESEL</t>
        </is>
      </c>
      <c r="C13" s="7" t="n">
        <v>56506.059</v>
      </c>
      <c r="D13" s="7" t="n">
        <v>0</v>
      </c>
      <c r="E13" s="7" t="n">
        <v>56506.059</v>
      </c>
      <c r="F13" s="7" t="n">
        <v>698.7509999999966</v>
      </c>
      <c r="G13" s="7" t="n">
        <v>55807.308</v>
      </c>
      <c r="H13" s="7" t="n">
        <v>-698.7509999999966</v>
      </c>
      <c r="I13" s="7" t="n">
        <v>185</v>
      </c>
      <c r="J13" s="7" t="n">
        <v>120746</v>
      </c>
    </row>
    <row r="14">
      <c r="A14" s="8" t="n">
        <v>46108</v>
      </c>
      <c r="B14" s="10" t="inlineStr">
        <is>
          <t>PETROL</t>
        </is>
      </c>
      <c r="C14" s="11" t="n">
        <v>823388.84</v>
      </c>
      <c r="D14" s="11" t="n">
        <v>0</v>
      </c>
      <c r="E14" s="11" t="n">
        <v>823388.84</v>
      </c>
      <c r="F14" s="11" t="n">
        <v>368.5500000000466</v>
      </c>
      <c r="G14" s="11" t="n">
        <v>823020.2899999999</v>
      </c>
      <c r="H14" s="11" t="n">
        <v>-368.5500000000466</v>
      </c>
      <c r="I14" s="11" t="n">
        <v>195</v>
      </c>
      <c r="J14" s="11" t="n">
        <v>66665.63000000012</v>
      </c>
    </row>
    <row r="15">
      <c r="A15" s="4" t="n">
        <v>46108</v>
      </c>
      <c r="B15" s="6" t="inlineStr">
        <is>
          <t>DIESEL</t>
        </is>
      </c>
      <c r="C15" s="7" t="n">
        <v>57204.81</v>
      </c>
      <c r="D15" s="7" t="n">
        <v>0</v>
      </c>
      <c r="E15" s="7" t="n">
        <v>57204.81</v>
      </c>
      <c r="F15" s="7" t="n">
        <v>434.1549999999988</v>
      </c>
      <c r="G15" s="7" t="n">
        <v>56770.655</v>
      </c>
      <c r="H15" s="7" t="n">
        <v>-434.1549999999988</v>
      </c>
      <c r="I15" s="7" t="n">
        <v>185</v>
      </c>
      <c r="J15" s="7" t="n">
        <v>75020</v>
      </c>
    </row>
    <row r="16">
      <c r="A16" s="8" t="n">
        <v>46109</v>
      </c>
      <c r="B16" s="10" t="inlineStr">
        <is>
          <t>PETROL</t>
        </is>
      </c>
      <c r="C16" s="11" t="n">
        <v>823757.39</v>
      </c>
      <c r="D16" s="11" t="n">
        <v>0</v>
      </c>
      <c r="E16" s="11" t="n">
        <v>823757.39</v>
      </c>
      <c r="F16" s="11" t="n">
        <v>372.0200000000186</v>
      </c>
      <c r="G16" s="11" t="n">
        <v>823385.37</v>
      </c>
      <c r="H16" s="11" t="n">
        <v>-372.0200000000186</v>
      </c>
      <c r="I16" s="11" t="n">
        <v>195</v>
      </c>
      <c r="J16" s="11" t="n">
        <v>68206.29000000004</v>
      </c>
    </row>
    <row r="17">
      <c r="A17" s="4" t="n">
        <v>46109</v>
      </c>
      <c r="B17" s="6" t="inlineStr">
        <is>
          <t>DIESEL</t>
        </is>
      </c>
      <c r="C17" s="7" t="n">
        <v>57638.965</v>
      </c>
      <c r="D17" s="7" t="n">
        <v>0</v>
      </c>
      <c r="E17" s="7" t="n">
        <v>57638.965</v>
      </c>
      <c r="F17" s="7" t="n">
        <v>544.7640000000029</v>
      </c>
      <c r="G17" s="7" t="n">
        <v>57094.20099999999</v>
      </c>
      <c r="H17" s="7" t="n">
        <v>-544.7640000000029</v>
      </c>
      <c r="I17" s="7" t="n">
        <v>185</v>
      </c>
      <c r="J17" s="7" t="n">
        <v>94134.98999999999</v>
      </c>
    </row>
    <row r="18">
      <c r="A18" s="8" t="n">
        <v>46111</v>
      </c>
      <c r="B18" s="10" t="inlineStr">
        <is>
          <t>PETROL</t>
        </is>
      </c>
      <c r="C18" s="11" t="n">
        <v>824129.41</v>
      </c>
      <c r="D18" s="11" t="n">
        <v>0</v>
      </c>
      <c r="E18" s="11" t="n">
        <v>824129.41</v>
      </c>
      <c r="F18" s="11" t="n">
        <v>729.0299999999115</v>
      </c>
      <c r="G18" s="11" t="n">
        <v>823400.3800000001</v>
      </c>
      <c r="H18" s="11" t="n">
        <v>-729.0299999999115</v>
      </c>
      <c r="I18" s="11" t="n">
        <v>195</v>
      </c>
      <c r="J18" s="11" t="n">
        <v>133677.8099999998</v>
      </c>
    </row>
    <row r="19">
      <c r="A19" s="4" t="n">
        <v>46111</v>
      </c>
      <c r="B19" s="6" t="inlineStr">
        <is>
          <t>DIESEL</t>
        </is>
      </c>
      <c r="C19" s="7" t="n">
        <v>58183.729</v>
      </c>
      <c r="D19" s="7" t="n">
        <v>0</v>
      </c>
      <c r="E19" s="7" t="n">
        <v>58183.729</v>
      </c>
      <c r="F19" s="7" t="n">
        <v>1070.304000000004</v>
      </c>
      <c r="G19" s="7" t="n">
        <v>57113.425</v>
      </c>
      <c r="H19" s="7" t="n">
        <v>-1070.304000000004</v>
      </c>
      <c r="I19" s="7" t="n">
        <v>185</v>
      </c>
      <c r="J19" s="7" t="n">
        <v>184948.48</v>
      </c>
    </row>
    <row r="20">
      <c r="A20" s="8" t="n">
        <v>46112</v>
      </c>
      <c r="B20" s="10" t="inlineStr">
        <is>
          <t>PETROL</t>
        </is>
      </c>
      <c r="C20" s="11" t="n">
        <v>824858.4399999999</v>
      </c>
      <c r="D20" s="11" t="n">
        <v>0</v>
      </c>
      <c r="E20" s="11" t="n">
        <v>824858.4399999999</v>
      </c>
      <c r="F20" s="11" t="n">
        <v>165.7800000000279</v>
      </c>
      <c r="G20" s="11" t="n">
        <v>824692.6599999999</v>
      </c>
      <c r="H20" s="11" t="n">
        <v>-165.7800000000279</v>
      </c>
      <c r="I20" s="11" t="n">
        <v>195</v>
      </c>
      <c r="J20" s="11" t="n">
        <v>30410.13000000012</v>
      </c>
    </row>
    <row r="21">
      <c r="A21" s="4" t="n">
        <v>46112</v>
      </c>
      <c r="B21" s="6" t="inlineStr">
        <is>
          <t>DIESEL</t>
        </is>
      </c>
      <c r="C21" s="7" t="n">
        <v>59254.033</v>
      </c>
      <c r="D21" s="7" t="n">
        <v>0</v>
      </c>
      <c r="E21" s="7" t="n">
        <v>59254.033</v>
      </c>
      <c r="F21" s="7" t="n">
        <v>962.6329999999944</v>
      </c>
      <c r="G21" s="7" t="n">
        <v>58291.40000000001</v>
      </c>
      <c r="H21" s="7" t="n">
        <v>-962.6329999999944</v>
      </c>
      <c r="I21" s="7" t="n">
        <v>185</v>
      </c>
      <c r="J21" s="7" t="n">
        <v>166342.7300000001</v>
      </c>
    </row>
    <row r="22">
      <c r="A22" s="8" t="n">
        <v>46119</v>
      </c>
      <c r="B22" s="10" t="inlineStr">
        <is>
          <t>PETROL</t>
        </is>
      </c>
      <c r="C22" s="11" t="n">
        <v>825024.22</v>
      </c>
      <c r="D22" s="11" t="n">
        <v>0</v>
      </c>
      <c r="E22" s="11" t="n">
        <v>825024.22</v>
      </c>
      <c r="F22" s="11" t="n">
        <v>902.8000000000466</v>
      </c>
      <c r="G22" s="11" t="n">
        <v>824121.4199999999</v>
      </c>
      <c r="H22" s="11" t="n">
        <v>-902.8000000000466</v>
      </c>
      <c r="I22" s="11" t="n">
        <v>195</v>
      </c>
      <c r="J22" s="11" t="n">
        <v>176443.6499999999</v>
      </c>
    </row>
    <row r="23">
      <c r="A23" s="4" t="n">
        <v>46119</v>
      </c>
      <c r="B23" s="6" t="inlineStr">
        <is>
          <t>DIESEL</t>
        </is>
      </c>
      <c r="C23" s="7" t="n">
        <v>60216.666</v>
      </c>
      <c r="D23" s="7" t="n">
        <v>0</v>
      </c>
      <c r="E23" s="7" t="n">
        <v>60216.666</v>
      </c>
      <c r="F23" s="7" t="n">
        <v>1638.57</v>
      </c>
      <c r="G23" s="7" t="n">
        <v>58578.096</v>
      </c>
      <c r="H23" s="7" t="n">
        <v>-1638.57</v>
      </c>
      <c r="I23" s="7" t="n">
        <v>185</v>
      </c>
      <c r="J23" s="7" t="n">
        <v>303134.6699999999</v>
      </c>
    </row>
    <row r="24">
      <c r="A24" s="8" t="n">
        <v>46120</v>
      </c>
      <c r="B24" s="10" t="inlineStr">
        <is>
          <t>PETROL</t>
        </is>
      </c>
      <c r="C24" s="11" t="n">
        <v>825927.02</v>
      </c>
      <c r="D24" s="11" t="n">
        <v>0</v>
      </c>
      <c r="E24" s="11" t="n">
        <v>825927.02</v>
      </c>
      <c r="F24" s="11" t="n">
        <v>1092.429999999935</v>
      </c>
      <c r="G24" s="11" t="n">
        <v>824834.5900000001</v>
      </c>
      <c r="H24" s="11" t="n">
        <v>-1092.429999999935</v>
      </c>
      <c r="I24" s="11" t="n">
        <v>195</v>
      </c>
      <c r="J24" s="11" t="n">
        <v>213739.05</v>
      </c>
    </row>
    <row r="25">
      <c r="A25" s="4" t="n">
        <v>46120</v>
      </c>
      <c r="B25" s="6" t="inlineStr">
        <is>
          <t>DIESEL</t>
        </is>
      </c>
      <c r="C25" s="7" t="n">
        <v>61855.236</v>
      </c>
      <c r="D25" s="7" t="n">
        <v>0</v>
      </c>
      <c r="E25" s="7" t="n">
        <v>61855.236</v>
      </c>
      <c r="F25" s="7" t="n">
        <v>1082.861000000004</v>
      </c>
      <c r="G25" s="7" t="n">
        <v>60772.37499999999</v>
      </c>
      <c r="H25" s="7" t="n">
        <v>-1082.861000000004</v>
      </c>
      <c r="I25" s="7" t="n">
        <v>185</v>
      </c>
      <c r="J25" s="7" t="n">
        <v>200330.3</v>
      </c>
    </row>
    <row r="26">
      <c r="A26" s="17" t="inlineStr">
        <is>
          <t>TOTALS</t>
        </is>
      </c>
      <c r="D26" s="13">
        <f>SUM(D4:D25)</f>
        <v/>
      </c>
      <c r="F26" s="13">
        <f>SUM(F4:F25)</f>
        <v/>
      </c>
      <c r="J26" s="13">
        <f>SUM(J4:J25)</f>
        <v/>
      </c>
    </row>
  </sheetData>
  <mergeCells count="3">
    <mergeCell ref="A26:B26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14" customWidth="1" min="9" max="9"/>
  </cols>
  <sheetData>
    <row r="1" ht="24" customHeight="1">
      <c r="A1" s="21" t="inlineStr">
        <is>
          <t>NEXGEN PETROL STATION — TANK STOCK LEDGER</t>
        </is>
      </c>
    </row>
    <row r="2" ht="13" customHeight="1">
      <c r="A2" s="22" t="inlineStr">
        <is>
          <t>Opening + Deliveries − Sales = Closing  |  Per shift per tank</t>
        </is>
      </c>
    </row>
    <row r="3" ht="18" customHeight="1">
      <c r="A3" s="23" t="inlineStr">
        <is>
          <t>Date</t>
        </is>
      </c>
      <c r="B3" s="23" t="inlineStr">
        <is>
          <t>Shift #</t>
        </is>
      </c>
      <c r="C3" s="23" t="inlineStr">
        <is>
          <t>Employee</t>
        </is>
      </c>
      <c r="D3" s="23" t="inlineStr">
        <is>
          <t>Tank</t>
        </is>
      </c>
      <c r="E3" s="23" t="inlineStr">
        <is>
          <t>Fuel Type</t>
        </is>
      </c>
      <c r="F3" s="23" t="inlineStr">
        <is>
          <t>Opening (L)</t>
        </is>
      </c>
      <c r="G3" s="23" t="inlineStr">
        <is>
          <t>+ Deliveries (L)</t>
        </is>
      </c>
      <c r="H3" s="23" t="inlineStr">
        <is>
          <t>- Sales (L)</t>
        </is>
      </c>
      <c r="I3" s="23" t="inlineStr">
        <is>
          <t>Closing (L)</t>
        </is>
      </c>
    </row>
    <row r="4">
      <c r="A4" s="8" t="n">
        <v>46120</v>
      </c>
      <c r="B4" s="9" t="n">
        <v>19</v>
      </c>
      <c r="C4" s="10" t="inlineStr">
        <is>
          <t>Kanini</t>
        </is>
      </c>
      <c r="D4" s="10" t="inlineStr">
        <is>
          <t>Tank 1</t>
        </is>
      </c>
      <c r="E4" s="9" t="inlineStr">
        <is>
          <t>PETROL</t>
        </is>
      </c>
      <c r="F4" s="11" t="n">
        <v>10543.14000000001</v>
      </c>
      <c r="G4" s="11" t="n">
        <v>0</v>
      </c>
      <c r="H4" s="11" t="n">
        <v>651.9699999999721</v>
      </c>
      <c r="I4" s="11" t="n">
        <v>9891.170000000042</v>
      </c>
    </row>
    <row r="5">
      <c r="A5" s="4" t="n">
        <v>46120</v>
      </c>
      <c r="B5" s="5" t="n">
        <v>19</v>
      </c>
      <c r="C5" s="6" t="inlineStr">
        <is>
          <t>Kanini</t>
        </is>
      </c>
      <c r="D5" s="6" t="inlineStr">
        <is>
          <t>Tank 2</t>
        </is>
      </c>
      <c r="E5" s="5" t="inlineStr">
        <is>
          <t>DIESEL</t>
        </is>
      </c>
      <c r="F5" s="7" t="n">
        <v>2003.614000000001</v>
      </c>
      <c r="G5" s="7" t="n">
        <v>0</v>
      </c>
      <c r="H5" s="7" t="n">
        <v>978.3770000000004</v>
      </c>
      <c r="I5" s="7" t="n">
        <v>1025.237000000001</v>
      </c>
    </row>
    <row r="6">
      <c r="A6" s="4" t="n">
        <v>46120</v>
      </c>
      <c r="B6" s="5" t="n">
        <v>19</v>
      </c>
      <c r="C6" s="6" t="inlineStr">
        <is>
          <t>Kanini</t>
        </is>
      </c>
      <c r="D6" s="6" t="inlineStr">
        <is>
          <t>Tank 3</t>
        </is>
      </c>
      <c r="E6" s="5" t="inlineStr">
        <is>
          <t>DIESEL</t>
        </is>
      </c>
      <c r="F6" s="7" t="n">
        <v>3000</v>
      </c>
      <c r="G6" s="7" t="n">
        <v>0</v>
      </c>
      <c r="H6" s="7" t="n">
        <v>0</v>
      </c>
      <c r="I6" s="7" t="n">
        <v>3000</v>
      </c>
    </row>
    <row r="7">
      <c r="A7" s="8" t="n">
        <v>46120</v>
      </c>
      <c r="B7" s="9" t="n">
        <v>20</v>
      </c>
      <c r="C7" s="10" t="inlineStr">
        <is>
          <t>Francis</t>
        </is>
      </c>
      <c r="D7" s="10" t="inlineStr">
        <is>
          <t>Tank 1</t>
        </is>
      </c>
      <c r="E7" s="9" t="inlineStr">
        <is>
          <t>PETROL</t>
        </is>
      </c>
      <c r="F7" s="11" t="n">
        <v>6097.530000000028</v>
      </c>
      <c r="G7" s="11" t="n">
        <v>0</v>
      </c>
      <c r="H7" s="11" t="n">
        <v>440.4599999999627</v>
      </c>
      <c r="I7" s="11" t="n">
        <v>5657.070000000065</v>
      </c>
    </row>
    <row r="8">
      <c r="A8" s="4" t="n">
        <v>46120</v>
      </c>
      <c r="B8" s="5" t="n">
        <v>20</v>
      </c>
      <c r="C8" s="6" t="inlineStr">
        <is>
          <t>Francis</t>
        </is>
      </c>
      <c r="D8" s="6" t="inlineStr">
        <is>
          <t>Tank 2</t>
        </is>
      </c>
      <c r="E8" s="5" t="inlineStr">
        <is>
          <t>DIESEL</t>
        </is>
      </c>
      <c r="F8" s="7" t="n">
        <v>770.7000000000044</v>
      </c>
      <c r="G8" s="7" t="n">
        <v>0</v>
      </c>
      <c r="H8" s="7" t="n">
        <v>104.484000000004</v>
      </c>
      <c r="I8" s="7" t="n">
        <v>666.2160000000003</v>
      </c>
    </row>
    <row r="9">
      <c r="A9" s="4" t="n">
        <v>46120</v>
      </c>
      <c r="B9" s="5" t="n">
        <v>20</v>
      </c>
      <c r="C9" s="6" t="inlineStr">
        <is>
          <t>Francis</t>
        </is>
      </c>
      <c r="D9" s="6" t="inlineStr">
        <is>
          <t>Tank 3</t>
        </is>
      </c>
      <c r="E9" s="5" t="inlineStr">
        <is>
          <t>DIESEL</t>
        </is>
      </c>
      <c r="F9" s="7" t="n">
        <v>0</v>
      </c>
      <c r="G9" s="7" t="n">
        <v>0</v>
      </c>
      <c r="H9" s="7" t="n">
        <v>0</v>
      </c>
      <c r="I9" s="7" t="n">
        <v>0</v>
      </c>
    </row>
    <row r="10">
      <c r="A10" s="17" t="inlineStr">
        <is>
          <t>TOTALS</t>
        </is>
      </c>
      <c r="G10" s="13">
        <f>SUM(G4:G9)</f>
        <v/>
      </c>
      <c r="H10" s="13">
        <f>SUM(H4:H9)</f>
        <v/>
      </c>
    </row>
  </sheetData>
  <mergeCells count="3">
    <mergeCell ref="A1:I1"/>
    <mergeCell ref="A10:E10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B2:H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3" customWidth="1" min="6" max="6"/>
  </cols>
  <sheetData>
    <row r="2" ht="28" customHeight="1">
      <c r="B2" s="24" t="inlineStr">
        <is>
          <t>NEXGEN PETROL STATION — LITRES TRACKER SUMMARY</t>
        </is>
      </c>
    </row>
    <row r="3">
      <c r="B3" s="25" t="inlineStr">
        <is>
          <t>Report Date: 09 Apr 2026</t>
        </is>
      </c>
    </row>
    <row r="5" ht="20" customHeight="1">
      <c r="B5" s="26" t="inlineStr">
        <is>
          <t>TANK INVENTORY (CURRENT LIVE STOCK)</t>
        </is>
      </c>
    </row>
    <row r="6">
      <c r="B6" s="3" t="inlineStr">
        <is>
          <t>Tank</t>
        </is>
      </c>
      <c r="C6" s="3" t="inlineStr">
        <is>
          <t>Fuel Type</t>
        </is>
      </c>
      <c r="D6" s="3" t="inlineStr">
        <is>
          <t>Capacity (L)</t>
        </is>
      </c>
      <c r="E6" s="3" t="inlineStr">
        <is>
          <t>Current Stock (L)</t>
        </is>
      </c>
      <c r="F6" s="3" t="inlineStr">
        <is>
          <t>% Full</t>
        </is>
      </c>
    </row>
    <row r="7">
      <c r="B7" s="5" t="inlineStr">
        <is>
          <t>Tank 2</t>
        </is>
      </c>
      <c r="C7" s="5" t="inlineStr">
        <is>
          <t>DIESEL</t>
        </is>
      </c>
      <c r="D7" s="7" t="n">
        <v>5000</v>
      </c>
      <c r="E7" s="7" t="n">
        <v>770.7000000000044</v>
      </c>
      <c r="F7" s="27">
        <f>E7/D7</f>
        <v/>
      </c>
    </row>
    <row r="8">
      <c r="B8" s="5" t="inlineStr">
        <is>
          <t>Tank 3</t>
        </is>
      </c>
      <c r="C8" s="5" t="inlineStr">
        <is>
          <t>DIESEL</t>
        </is>
      </c>
      <c r="D8" s="7" t="n">
        <v>6000</v>
      </c>
      <c r="E8" s="7" t="n">
        <v>0</v>
      </c>
      <c r="F8" s="27">
        <f>E8/D8</f>
        <v/>
      </c>
    </row>
    <row r="9">
      <c r="B9" s="9" t="inlineStr">
        <is>
          <t>Tank 1</t>
        </is>
      </c>
      <c r="C9" s="9" t="inlineStr">
        <is>
          <t>PETROL</t>
        </is>
      </c>
      <c r="D9" s="11" t="n">
        <v>10000</v>
      </c>
      <c r="E9" s="11" t="n">
        <v>6097.530000000028</v>
      </c>
      <c r="F9" s="28">
        <f>E9/D9</f>
        <v/>
      </c>
    </row>
    <row r="12" ht="20" customHeight="1">
      <c r="B12" s="26" t="inlineStr">
        <is>
          <t>PERIOD PERFORMANCE KPIs</t>
        </is>
      </c>
    </row>
    <row r="13">
      <c r="B13" s="3" t="inlineStr">
        <is>
          <t>Metric</t>
        </is>
      </c>
      <c r="C13" s="3" t="inlineStr">
        <is>
          <t>Petrol</t>
        </is>
      </c>
      <c r="D13" s="3" t="inlineStr">
        <is>
          <t>Diesel</t>
        </is>
      </c>
      <c r="E13" s="3" t="inlineStr">
        <is>
          <t>Combined</t>
        </is>
      </c>
    </row>
    <row r="14">
      <c r="B14" s="29" t="inlineStr">
        <is>
          <t>Total Litres Sold (L)</t>
        </is>
      </c>
      <c r="C14" s="11" t="n">
        <v>6342.929999999935</v>
      </c>
      <c r="D14" s="7" t="n">
        <v>7333.784</v>
      </c>
      <c r="E14" s="30" t="n">
        <v>13676.71399999993</v>
      </c>
    </row>
    <row r="15">
      <c r="B15" s="31" t="inlineStr">
        <is>
          <t>Total Revenue (KES)</t>
        </is>
      </c>
      <c r="C15" s="11" t="n">
        <v>1185578.18</v>
      </c>
      <c r="D15" s="7" t="n">
        <v>1300479.06</v>
      </c>
      <c r="E15" s="30" t="n">
        <v>2486057.24</v>
      </c>
    </row>
    <row r="16">
      <c r="B16" s="29" t="inlineStr">
        <is>
          <t>Total Deliveries (L)</t>
        </is>
      </c>
      <c r="C16" s="11" t="n">
        <v>12000</v>
      </c>
      <c r="D16" s="7" t="n">
        <v>8000</v>
      </c>
      <c r="E16" s="30" t="n">
        <v>20000</v>
      </c>
    </row>
    <row r="17">
      <c r="B17" s="31" t="inlineStr">
        <is>
          <t>Total Delivery Cost (KES)</t>
        </is>
      </c>
      <c r="C17" s="11" t="n">
        <v>2214000</v>
      </c>
      <c r="D17" s="7" t="n">
        <v>1326400</v>
      </c>
      <c r="E17" s="30" t="n">
        <v>3540400</v>
      </c>
    </row>
    <row r="18">
      <c r="B18" s="29" t="inlineStr">
        <is>
          <t>Gross Profit (KES)</t>
        </is>
      </c>
      <c r="C18" s="11" t="n">
        <v>-1028421.82</v>
      </c>
      <c r="D18" s="7" t="n">
        <v>-25920.93999999994</v>
      </c>
      <c r="E18" s="30" t="n">
        <v>-1054342.76</v>
      </c>
    </row>
    <row r="19">
      <c r="B19" s="31" t="inlineStr">
        <is>
          <t>Avg Selling Price/L (KES)</t>
        </is>
      </c>
      <c r="C19" s="11" t="n">
        <v>186.9133318513703</v>
      </c>
      <c r="D19" s="7" t="n">
        <v>177.3271560765902</v>
      </c>
      <c r="E19" s="30" t="n">
        <v>181.7729931327081</v>
      </c>
    </row>
    <row r="22">
      <c r="B22" s="32" t="inlineStr">
        <is>
          <t>Data period: 2026-03-20 to 2026-04-08  |  Shifts: 20  |  Source: NexGen SQLite Database</t>
        </is>
      </c>
    </row>
  </sheetData>
  <mergeCells count="3">
    <mergeCell ref="B2:H2"/>
    <mergeCell ref="B12:F12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2026-04-09T07:48:38Z</dcterms:created>
  <dcterms:modified xmlns:dcterms="http://purl.org/dc/terms/" xmlns:xsi="http://www.w3.org/2001/XMLSchema-instance" xsi:type="dcterms:W3CDTF">2026-04-09T07:48:39Z</dcterms:modified>
</cp:coreProperties>
</file>